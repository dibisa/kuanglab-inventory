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pi.box.com/wopi/files/1647060978572/WOPIServiceId_TP_BOX_2/WOPIUserId_-/"/>
    </mc:Choice>
  </mc:AlternateContent>
  <xr:revisionPtr revIDLastSave="61" documentId="13_ncr:1_{535DCF05-1C16-431A-B0CF-EF64237A706B}" xr6:coauthVersionLast="47" xr6:coauthVersionMax="47" xr10:uidLastSave="{B1A41FCB-759A-4537-8BE7-4AEC9FC0C2EE}"/>
  <bookViews>
    <workbookView xWindow="38290" yWindow="4700" windowWidth="25820" windowHeight="13900" tabRatio="452" xr2:uid="{00000000-000D-0000-FFFF-FFFF00000000}"/>
  </bookViews>
  <sheets>
    <sheet name="3_Chemicals&amp;Reagents" sheetId="5" r:id="rId1"/>
    <sheet name="1_Overall Budget " sheetId="3" r:id="rId2"/>
    <sheet name="2_Consumables" sheetId="4" r:id="rId3"/>
    <sheet name="4_Bioreagents" sheetId="6" r:id="rId4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3" l="1"/>
  <c r="E49" i="3"/>
  <c r="G86" i="3"/>
  <c r="E45" i="3"/>
  <c r="E47" i="3"/>
  <c r="E53" i="3"/>
  <c r="G121" i="3"/>
  <c r="G113" i="3"/>
  <c r="D42" i="4" l="1"/>
  <c r="E41" i="4"/>
  <c r="E31" i="4"/>
  <c r="G42" i="3"/>
  <c r="E51" i="3" l="1"/>
  <c r="E52" i="3"/>
  <c r="E44" i="3"/>
  <c r="E48" i="3"/>
  <c r="E50" i="3"/>
  <c r="G105" i="3" l="1"/>
  <c r="G34" i="3" l="1"/>
  <c r="G38" i="3"/>
  <c r="G24" i="3"/>
  <c r="E106" i="3"/>
  <c r="G82" i="3"/>
  <c r="H119" i="3" l="1"/>
  <c r="H121" i="3" s="1"/>
  <c r="F14" i="3"/>
  <c r="F61" i="3"/>
  <c r="G74" i="3"/>
  <c r="G56" i="3"/>
  <c r="G54" i="3"/>
  <c r="F41" i="3" l="1"/>
  <c r="F86" i="3"/>
  <c r="F84" i="3"/>
  <c r="F85" i="3"/>
  <c r="H24" i="3"/>
  <c r="H38" i="3"/>
  <c r="H34" i="3"/>
  <c r="H42" i="3"/>
  <c r="F71" i="3"/>
  <c r="F39" i="3"/>
  <c r="F40" i="3"/>
  <c r="F42" i="3"/>
  <c r="F62" i="3"/>
  <c r="F63" i="3"/>
  <c r="F69" i="3"/>
  <c r="F68" i="3"/>
  <c r="F49" i="3"/>
  <c r="F50" i="3"/>
  <c r="F51" i="3"/>
  <c r="F52" i="3"/>
  <c r="F19" i="3"/>
  <c r="F17" i="3"/>
  <c r="F16" i="3"/>
  <c r="H105" i="3"/>
  <c r="F26" i="3"/>
  <c r="F83" i="3"/>
  <c r="F48" i="3"/>
  <c r="F47" i="3"/>
  <c r="F24" i="3"/>
  <c r="F46" i="3"/>
  <c r="F45" i="3"/>
  <c r="F32" i="3"/>
  <c r="F35" i="3"/>
  <c r="F82" i="3"/>
  <c r="F20" i="3"/>
  <c r="F21" i="3"/>
  <c r="F23" i="3"/>
  <c r="F25" i="3"/>
  <c r="F28" i="3"/>
  <c r="F22" i="3"/>
  <c r="F36" i="3"/>
  <c r="F15" i="3"/>
  <c r="F33" i="3"/>
  <c r="F37" i="3"/>
  <c r="F34" i="3"/>
  <c r="F18" i="3"/>
  <c r="F38" i="3"/>
  <c r="F99" i="3"/>
  <c r="F27" i="3"/>
  <c r="F29" i="3"/>
  <c r="F30" i="3"/>
  <c r="F59" i="3"/>
  <c r="F31" i="3"/>
  <c r="H56" i="3"/>
  <c r="F13" i="3"/>
  <c r="F60" i="3"/>
  <c r="F74" i="3"/>
  <c r="F92" i="3"/>
  <c r="F64" i="3"/>
  <c r="F100" i="3"/>
  <c r="F43" i="3"/>
  <c r="F103" i="3"/>
  <c r="F65" i="3"/>
  <c r="H54" i="3"/>
  <c r="F73" i="3"/>
  <c r="F80" i="3"/>
  <c r="F87" i="3"/>
  <c r="F44" i="3"/>
  <c r="F57" i="3"/>
  <c r="F75" i="3"/>
  <c r="F95" i="3"/>
  <c r="F53" i="3"/>
  <c r="F55" i="3"/>
  <c r="F66" i="3"/>
  <c r="F76" i="3"/>
  <c r="F98" i="3"/>
  <c r="F56" i="3"/>
  <c r="F58" i="3"/>
  <c r="F67" i="3"/>
  <c r="F72" i="3"/>
  <c r="F78" i="3"/>
  <c r="F88" i="3"/>
  <c r="F96" i="3"/>
  <c r="F104" i="3"/>
  <c r="F70" i="3"/>
  <c r="H74" i="3"/>
  <c r="F79" i="3"/>
  <c r="F91" i="3"/>
  <c r="F97" i="3"/>
  <c r="F102" i="3"/>
  <c r="F77" i="3"/>
  <c r="F81" i="3"/>
  <c r="F89" i="3"/>
  <c r="F93" i="3"/>
  <c r="F101" i="3"/>
  <c r="F90" i="3"/>
  <c r="F94" i="3"/>
  <c r="F105" i="3"/>
  <c r="H86" i="3" l="1"/>
  <c r="H82" i="3"/>
  <c r="K148" i="5"/>
  <c r="K148" i="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<sst xmlns="http://schemas.openxmlformats.org/spreadsheetml/2006/main" count="952" uniqueCount="744">
  <si>
    <t>Location</t>
  </si>
  <si>
    <t>Typical chemicals and reagents</t>
    <phoneticPr fontId="1" type="noConversion"/>
  </si>
  <si>
    <t>Amount on hand</t>
  </si>
  <si>
    <t>Date Open</t>
  </si>
  <si>
    <t>Name</t>
    <phoneticPr fontId="1" type="noConversion"/>
  </si>
  <si>
    <t>Vendor</t>
    <phoneticPr fontId="1" type="noConversion"/>
  </si>
  <si>
    <t>Quantity</t>
  </si>
  <si>
    <t>CAS no.</t>
    <phoneticPr fontId="1" type="noConversion"/>
  </si>
  <si>
    <t>cat. no.</t>
  </si>
  <si>
    <t>Molecule Weight</t>
  </si>
  <si>
    <t>Estimated Costs</t>
  </si>
  <si>
    <t>Link</t>
    <phoneticPr fontId="1" type="noConversion"/>
  </si>
  <si>
    <t>Presusors/polymers</t>
    <phoneticPr fontId="1" type="noConversion"/>
  </si>
  <si>
    <t>agar</t>
    <phoneticPr fontId="3" type="noConversion"/>
  </si>
  <si>
    <t>Sigma-Aldrich</t>
  </si>
  <si>
    <t>A1296-500G</t>
    <phoneticPr fontId="1" type="noConversion"/>
  </si>
  <si>
    <t>500g</t>
    <phoneticPr fontId="1" type="noConversion"/>
  </si>
  <si>
    <t xml:space="preserve">flamable cabnet </t>
  </si>
  <si>
    <t>https://www.sigmaaldrich.com/US/en/product/sigma/a1296</t>
    <phoneticPr fontId="1" type="noConversion"/>
  </si>
  <si>
    <t>Chitosan</t>
  </si>
  <si>
    <t>Sigma Aldrich</t>
  </si>
  <si>
    <t>Porcine Gelatin (Type A, powder, gel strength ~300 g Bloom)</t>
    <phoneticPr fontId="1" type="noConversion"/>
  </si>
  <si>
    <t>G1890-500G</t>
  </si>
  <si>
    <t>https://www.sigmaaldrich.com/US/en/product/sigma/g1890</t>
  </si>
  <si>
    <t>Poly(vinyl alcohol) Mw 89,000-98,000</t>
    <phoneticPr fontId="1" type="noConversion"/>
  </si>
  <si>
    <t>341584-100G</t>
    <phoneticPr fontId="1" type="noConversion"/>
  </si>
  <si>
    <t>100g</t>
    <phoneticPr fontId="1" type="noConversion"/>
  </si>
  <si>
    <t>https://www.sigmaaldrich.com/US/en/product/aldrich/341584</t>
  </si>
  <si>
    <t>Gellan Gum</t>
  </si>
  <si>
    <t xml:space="preserve">
71010-52-1</t>
  </si>
  <si>
    <t>G1910-250G</t>
  </si>
  <si>
    <t>250G</t>
  </si>
  <si>
    <t>Polycarprolactone Diol Mw 530</t>
    <phoneticPr fontId="1" type="noConversion"/>
  </si>
  <si>
    <t>Sigma Aldrich</t>
    <phoneticPr fontId="1" type="noConversion"/>
  </si>
  <si>
    <t>36890-68-3</t>
    <phoneticPr fontId="1" type="noConversion"/>
  </si>
  <si>
    <t>189405-250G</t>
  </si>
  <si>
    <t>Sodium alginate</t>
  </si>
  <si>
    <t>SIGMA</t>
  </si>
  <si>
    <t>71238-250G</t>
  </si>
  <si>
    <t>250g</t>
    <phoneticPr fontId="1" type="noConversion"/>
  </si>
  <si>
    <t>https://www.sigmaaldrich.com/US/en/search/sodium-alginate?focus=products&amp;page=1&amp;perpage=30&amp;sort=relevance&amp;term=Sodium%20alginate&amp;type=product</t>
    <phoneticPr fontId="1" type="noConversion"/>
  </si>
  <si>
    <t>Reagents</t>
    <phoneticPr fontId="1" type="noConversion"/>
  </si>
  <si>
    <r>
      <t>1,1</t>
    </r>
    <r>
      <rPr>
        <sz val="11"/>
        <color rgb="FFFF0000"/>
        <rFont val="宋体"/>
        <family val="3"/>
        <charset val="134"/>
      </rPr>
      <t>′</t>
    </r>
    <r>
      <rPr>
        <sz val="11"/>
        <color rgb="FFFF0000"/>
        <rFont val="Arial"/>
        <family val="2"/>
      </rPr>
      <t>-(Methylenedi-4,1-phenylene)bismaleimide</t>
    </r>
  </si>
  <si>
    <t>13676-54-5</t>
    <phoneticPr fontId="1" type="noConversion"/>
  </si>
  <si>
    <t>227463-100G</t>
    <phoneticPr fontId="1" type="noConversion"/>
  </si>
  <si>
    <t>https://www.sigmaaldrich.com/US/en/product/aldrich/227463</t>
  </si>
  <si>
    <t>2024 Nov</t>
  </si>
  <si>
    <t>Epoxy (Epon 828/826)</t>
    <phoneticPr fontId="1" type="noConversion"/>
  </si>
  <si>
    <t>Hexion westlake</t>
    <phoneticPr fontId="1" type="noConversion"/>
  </si>
  <si>
    <t>EPON™ Resin 828</t>
    <phoneticPr fontId="1" type="noConversion"/>
  </si>
  <si>
    <t>https://www.westlakeepoxy.com/en-US/product/EPON-Resin-828</t>
  </si>
  <si>
    <t>Pentaerythritol tetrakis(3-mercaptopropionate)</t>
  </si>
  <si>
    <t>7575-23-7</t>
    <phoneticPr fontId="1" type="noConversion"/>
  </si>
  <si>
    <t>381462-500ML</t>
  </si>
  <si>
    <t>500ML</t>
    <phoneticPr fontId="1" type="noConversion"/>
  </si>
  <si>
    <r>
      <t>Dimethyl sulfoxide-d</t>
    </r>
    <r>
      <rPr>
        <vertAlign val="subscript"/>
        <sz val="11"/>
        <color rgb="FFFF0000"/>
        <rFont val="Segoe UI"/>
        <family val="2"/>
      </rPr>
      <t>6</t>
    </r>
  </si>
  <si>
    <t>2206-27-1</t>
  </si>
  <si>
    <t>151874-10G-GL</t>
  </si>
  <si>
    <t>10g</t>
  </si>
  <si>
    <t>1,1,3,3-Tetramethylguanidine</t>
  </si>
  <si>
    <t>80-70-6</t>
  </si>
  <si>
    <t>241768-100ML</t>
    <phoneticPr fontId="1" type="noConversion"/>
  </si>
  <si>
    <t>100mL</t>
    <phoneticPr fontId="1" type="noConversion"/>
  </si>
  <si>
    <t>https://www.sigmaaldrich.com/US/en/search/pentaerythritol(3-mercaptopropionate)?focus=products&amp;page=1&amp;perpage=30&amp;sort=relevance&amp;term=pentaerythritol%283-mercaptopropionate%29&amp;type=product</t>
  </si>
  <si>
    <t>Sodium tetraphenylborate</t>
  </si>
  <si>
    <t>143-66-8</t>
  </si>
  <si>
    <t>T25402-100G</t>
  </si>
  <si>
    <t>https://www.sigmaaldrich.com/US/en/product/sial/t25402</t>
  </si>
  <si>
    <t>1,6-Hexanediol</t>
  </si>
  <si>
    <t>629-11-8</t>
  </si>
  <si>
    <t>H11807-500G</t>
    <phoneticPr fontId="1" type="noConversion"/>
  </si>
  <si>
    <t>500G</t>
    <phoneticPr fontId="1" type="noConversion"/>
  </si>
  <si>
    <t>https://www.sigmaaldrich.com/US/en/search/tetramethylguanidine?focus=products&amp;page=1&amp;perpage=30&amp;sort=relevance&amp;term=tetramethylguanidine&amp;type=product</t>
    <phoneticPr fontId="1" type="noConversion"/>
  </si>
  <si>
    <t>1-Dodecanethiol</t>
  </si>
  <si>
    <t>112-55-0</t>
  </si>
  <si>
    <t>471364-100ML</t>
    <phoneticPr fontId="1" type="noConversion"/>
  </si>
  <si>
    <t>https://www.sigmaaldrich.com/US/en/search/1-dodecanethiol?focus=products&amp;page=1&amp;perpage=30&amp;sort=relevance&amp;term=1-dodecanethiol&amp;type=product</t>
    <phoneticPr fontId="1" type="noConversion"/>
  </si>
  <si>
    <t>Jeffamine D-230 (Poly(propylene glycol) bis(2-aminopropyl ether))</t>
    <phoneticPr fontId="1" type="noConversion"/>
  </si>
  <si>
    <t>9046-10-0</t>
    <phoneticPr fontId="1" type="noConversion"/>
  </si>
  <si>
    <t>406651-500ML</t>
    <phoneticPr fontId="1" type="noConversion"/>
  </si>
  <si>
    <t>500mL</t>
    <phoneticPr fontId="1" type="noConversion"/>
  </si>
  <si>
    <t>https://www.sigmaaldrich.com/US/en/product/aldrich/406651</t>
    <phoneticPr fontId="1" type="noConversion"/>
  </si>
  <si>
    <t>Sodium thioglycolate</t>
  </si>
  <si>
    <t>367-51-1</t>
  </si>
  <si>
    <t>T0632-25G</t>
  </si>
  <si>
    <t>L-Cysteine hydrochloride</t>
  </si>
  <si>
    <t>52-89-1</t>
  </si>
  <si>
    <t>N-(3-Dimethylaminopropyl)-N′-ethylcarbodiimide hydrochloride</t>
  </si>
  <si>
    <t>25952-53-8</t>
  </si>
  <si>
    <t>03450-5g</t>
  </si>
  <si>
    <t>5g</t>
  </si>
  <si>
    <t>https://www.sigmaaldrich.com/US/en/search/dithiothreitol?focus=products&amp;page=1&amp;perpage=30&amp;sort=relevance&amp;term=Dithiothreitol&amp;type=product</t>
    <phoneticPr fontId="1" type="noConversion"/>
  </si>
  <si>
    <t>N-Hydroxysuccinimide</t>
  </si>
  <si>
    <t>6066-82-6</t>
  </si>
  <si>
    <t>25g</t>
  </si>
  <si>
    <t>Tartrazine</t>
  </si>
  <si>
    <t>1934-21-0</t>
  </si>
  <si>
    <t>T0388-100G</t>
  </si>
  <si>
    <t>Rhodamine B</t>
  </si>
  <si>
    <t>81-88-9</t>
  </si>
  <si>
    <t>R6626</t>
  </si>
  <si>
    <t>Rose bengal</t>
  </si>
  <si>
    <t>330000-1G</t>
  </si>
  <si>
    <t>LITHIUM BROMIDE</t>
    <phoneticPr fontId="1" type="noConversion"/>
  </si>
  <si>
    <t>213225-100G</t>
    <phoneticPr fontId="1" type="noConversion"/>
  </si>
  <si>
    <t>LITHIUM CHLORIDE</t>
  </si>
  <si>
    <t>7550-35-8</t>
    <phoneticPr fontId="1" type="noConversion"/>
  </si>
  <si>
    <t>L7026-100ML</t>
    <phoneticPr fontId="1" type="noConversion"/>
  </si>
  <si>
    <t>Iron(II) sulfate heptahydrate</t>
  </si>
  <si>
    <t>7782-63-0</t>
  </si>
  <si>
    <t>F7002-250G</t>
  </si>
  <si>
    <t>2,6-Di-tert-butyl-4-methylphenol</t>
  </si>
  <si>
    <t>128-37-0</t>
  </si>
  <si>
    <t>B1378-100G</t>
  </si>
  <si>
    <t>Zinc acetate</t>
  </si>
  <si>
    <t>557-34-6</t>
  </si>
  <si>
    <t>383317-25G</t>
  </si>
  <si>
    <t>(2-Ethyl-2-(hydroxymethyl)-1,3-propanediol polymer with (chloromethyl)oxirane</t>
  </si>
  <si>
    <t>30499-70-8</t>
  </si>
  <si>
    <t>430269-250ML</t>
  </si>
  <si>
    <t>L-Ascorbic acid</t>
  </si>
  <si>
    <t>50-81-7</t>
  </si>
  <si>
    <t>Sodium bicarbonate</t>
  </si>
  <si>
    <t>144-55-8</t>
  </si>
  <si>
    <t>S5761-500G</t>
  </si>
  <si>
    <t>Riboflavin</t>
  </si>
  <si>
    <t>83-88-5</t>
  </si>
  <si>
    <t>R9504-25G</t>
  </si>
  <si>
    <t>Sunset Yellow FCF</t>
  </si>
  <si>
    <t>2783-94-0</t>
  </si>
  <si>
    <t>465224-25G</t>
  </si>
  <si>
    <t>Sudan</t>
  </si>
  <si>
    <t>842-07-9</t>
  </si>
  <si>
    <t>103624-25G</t>
  </si>
  <si>
    <t>Sodium persulfate</t>
    <phoneticPr fontId="1" type="noConversion"/>
  </si>
  <si>
    <t>Sigma</t>
    <phoneticPr fontId="1" type="noConversion"/>
  </si>
  <si>
    <t>00007775-27-1</t>
  </si>
  <si>
    <t>216232-500G</t>
  </si>
  <si>
    <t xml:space="preserve">500 g </t>
    <phoneticPr fontId="1" type="noConversion"/>
  </si>
  <si>
    <t>Methacrylic anhydride</t>
    <phoneticPr fontId="1" type="noConversion"/>
  </si>
  <si>
    <t>276685-500ML</t>
    <phoneticPr fontId="1" type="noConversion"/>
  </si>
  <si>
    <t>https://www.sigmaaldrich.com/US/en/product/aldrich/276685</t>
    <phoneticPr fontId="1" type="noConversion"/>
  </si>
  <si>
    <t>Sodium chloride</t>
  </si>
  <si>
    <t>Lithium bromide</t>
  </si>
  <si>
    <t>SIGMA ALDRICH</t>
  </si>
  <si>
    <t>MES solution</t>
  </si>
  <si>
    <t>Hydrochloric acid</t>
    <phoneticPr fontId="1" type="noConversion"/>
  </si>
  <si>
    <t>7647-01-0</t>
  </si>
  <si>
    <t>258148-25ML</t>
    <phoneticPr fontId="1" type="noConversion"/>
  </si>
  <si>
    <t>25 ml</t>
    <phoneticPr fontId="1" type="noConversion"/>
  </si>
  <si>
    <t>https://www.sigmaaldrich.com/US/en/search/meoh?focus=products&amp;page=1&amp;perpage=30&amp;sort=relevance&amp;term=MeOH&amp;type=product</t>
  </si>
  <si>
    <t>Succinic anhydride</t>
  </si>
  <si>
    <t>Sodium Hydroxide, Pellets</t>
  </si>
  <si>
    <t>1310-73-2</t>
  </si>
  <si>
    <t>567530-250GM</t>
  </si>
  <si>
    <t>N,N'-Bis(acryloyl)cystamine</t>
    <phoneticPr fontId="1" type="noConversion"/>
  </si>
  <si>
    <t>Alfa Aesar</t>
  </si>
  <si>
    <t>Calcium chloride dihydrate</t>
  </si>
  <si>
    <t>10035-04-8</t>
  </si>
  <si>
    <t>C7902-500G</t>
  </si>
  <si>
    <t>500g</t>
  </si>
  <si>
    <t>https://www.sigmaaldrich.com/US/en/product/sigma/c7902</t>
  </si>
  <si>
    <t>2024 OCT</t>
  </si>
  <si>
    <t>Trimethylolpropane tris(3-mercaptopropionate)</t>
  </si>
  <si>
    <t>33007-83-9</t>
  </si>
  <si>
    <t>N,N,N′,N′-Tetraethylethylenediamine</t>
  </si>
  <si>
    <t>https://www.sigmaaldrich.com/US/en/product/aldrich/127078</t>
  </si>
  <si>
    <t>Acetonitrile</t>
  </si>
  <si>
    <t>34851-100ML</t>
  </si>
  <si>
    <t>1,5,7-Triazabicyclo[4.4.0]dec-5-ene</t>
  </si>
  <si>
    <t>345571-5G</t>
  </si>
  <si>
    <t>Poly(ethylene glycol)</t>
  </si>
  <si>
    <t>P2139-500G</t>
  </si>
  <si>
    <t>https://www.sigmaaldrich.com/US/en/product/aldrich/p2139</t>
  </si>
  <si>
    <t>Diethyl ether</t>
  </si>
  <si>
    <t>346136-100ML</t>
  </si>
  <si>
    <t>https://www.sigmaaldrich.com/US/en/product/sigald/346136</t>
  </si>
  <si>
    <t>Poly(ethylene oxide) Mn=4,000k</t>
  </si>
  <si>
    <t>189464-250G</t>
  </si>
  <si>
    <t>4000k</t>
  </si>
  <si>
    <t>https://www.sigmaaldrich.com/US/en/product/aldrich/189464</t>
  </si>
  <si>
    <t>181986-250G</t>
  </si>
  <si>
    <t>https://www.sigmaaldrich.com/US/en/product/aldrich/181986</t>
  </si>
  <si>
    <t>Dicyandiamide</t>
  </si>
  <si>
    <t>D76609-1KG</t>
  </si>
  <si>
    <t>https://www.sigmaaldrich.com/US/en/product/aldrich/d76609</t>
  </si>
  <si>
    <t>TRIETHYLAMINE, BIOULTRA, &gt;= 99.5 % GC</t>
  </si>
  <si>
    <t>90335-100ML</t>
  </si>
  <si>
    <t>FURFURYLAMINE, 99+%</t>
  </si>
  <si>
    <t>617-89-0</t>
  </si>
  <si>
    <t>F20009-100G</t>
  </si>
  <si>
    <t>2025 Mar</t>
  </si>
  <si>
    <t>Thionyl chloride (SOCl2)</t>
  </si>
  <si>
    <t>https://www.sigmaaldrich.com/US/en/product/mm/808154</t>
  </si>
  <si>
    <t>Jeffamine ED-600</t>
    <phoneticPr fontId="1" type="noConversion"/>
  </si>
  <si>
    <t>Huntsman</t>
    <phoneticPr fontId="1" type="noConversion"/>
  </si>
  <si>
    <t>Dithiothreitol DTT</t>
    <phoneticPr fontId="1" type="noConversion"/>
  </si>
  <si>
    <t>AmericanBio</t>
  </si>
  <si>
    <t>Sodium borohydride</t>
    <phoneticPr fontId="1" type="noConversion"/>
  </si>
  <si>
    <t>452882-500G</t>
    <phoneticPr fontId="1" type="noConversion"/>
  </si>
  <si>
    <t>Pentaerythritol tetrakis(3,5-di-tert-butyl-4-hydroxyhydrocinnamate)</t>
  </si>
  <si>
    <t>6683-19-8</t>
  </si>
  <si>
    <t>441783-100G</t>
  </si>
  <si>
    <t>Initiators</t>
    <phoneticPr fontId="1" type="noConversion"/>
  </si>
  <si>
    <t>2024 Oct</t>
  </si>
  <si>
    <t>Ammonium peroxydisulfate</t>
  </si>
  <si>
    <t>7727-54-0</t>
  </si>
  <si>
    <t>215589-100G</t>
    <phoneticPr fontId="1" type="noConversion"/>
  </si>
  <si>
    <t>Ketoglutaric acid</t>
  </si>
  <si>
    <t>328-50-7</t>
  </si>
  <si>
    <t>K1128-100G</t>
  </si>
  <si>
    <t>https://www.sigmaaldrich.com/US/en/search/ammonium-peroxydisulfate?focus=products&amp;page=1&amp;perpage=30&amp;sort=relevance&amp;term=Ammonium%20peroxydisulfate&amp;type=product</t>
    <phoneticPr fontId="1" type="noConversion"/>
  </si>
  <si>
    <t xml:space="preserve">2-hydroxy-4’-(2-hydroxyethoxy)-2-methylpropiophenone </t>
  </si>
  <si>
    <t>410896-50G</t>
  </si>
  <si>
    <t>50G</t>
    <phoneticPr fontId="1" type="noConversion"/>
  </si>
  <si>
    <t>https://www.sigmaaldrich.com/US/en/search/ketoglutaric-acid?focus=products&amp;page=1&amp;perpage=30&amp;sort=relevance&amp;term=Ketoglutaric%20acid&amp;type=product</t>
    <phoneticPr fontId="1" type="noConversion"/>
  </si>
  <si>
    <t>LAP - Lithium phenyl-2,4,6-trimethylbenzoylphosphinate</t>
  </si>
  <si>
    <t>5g bottle</t>
    <phoneticPr fontId="1" type="noConversion"/>
  </si>
  <si>
    <t>2, 2'-Azobis(2-methylpropionitrile)</t>
  </si>
  <si>
    <t>78-67-1</t>
  </si>
  <si>
    <t>441090-25G</t>
    <phoneticPr fontId="1" type="noConversion"/>
  </si>
  <si>
    <t>25g</t>
    <phoneticPr fontId="1" type="noConversion"/>
  </si>
  <si>
    <t>2,2'-Azobis[2-methyl-N-(hydroxyethyl)propioamide]</t>
    <phoneticPr fontId="1" type="noConversion"/>
  </si>
  <si>
    <t>https://www.sigmaaldrich.com/US/en/search/2%2C-2'-azobis(2-methylpropionitrile)?focus=products&amp;page=1&amp;perpage=30&amp;sort=relevance&amp;term=2%2C%202%27-Azobis%282-methylpropionitrile%29&amp;type=product</t>
    <phoneticPr fontId="1" type="noConversion"/>
  </si>
  <si>
    <t>Phenylbis(2,4,6-trimethylbenzoyl)phosphine oxide (Irgacure® 819)</t>
  </si>
  <si>
    <t>162881-26-7</t>
  </si>
  <si>
    <t>511447-50G</t>
  </si>
  <si>
    <t>50g</t>
  </si>
  <si>
    <t>https://www.sigmaaldrich.com/US/en/product/aldrich/511447?srsltid=AfmBOoqX-rQpSOIpAb8x82bc6TWXPEjLuYkgoavzrZ6cBBMCwvGfeLAJ</t>
  </si>
  <si>
    <t>4,4'-Azobis(4-cyanovaleric acid)</t>
  </si>
  <si>
    <t>2638-94-0</t>
  </si>
  <si>
    <t>11590-100G</t>
    <phoneticPr fontId="1" type="noConversion"/>
  </si>
  <si>
    <t>100G</t>
    <phoneticPr fontId="1" type="noConversion"/>
  </si>
  <si>
    <t>https://www.sigmaaldrich.com/US/en/search/4%2C4%E2%80%B2-azobis(4-cyanovaleric-acid)?dym=2%2C2%27-azobis%5B2-methyl-N-%28hydroxy%20ethyl%29propanamide%5D%2C2%2C2%27-azobis%5B2-methyl-N-%28hydroxy%20ethyl%29propionamide%5D%2C2%2C2%27-azobis%5B2-methyl-N-%28hydroxy%20ethyl%29propiolamide%5D&amp;focus=products&amp;page=1&amp;perpage=30&amp;sort=relevance&amp;term=4%2C4%E2%80%B2-Azobis%284-cyanovaleric%20acid%29&amp;type=product</t>
    <phoneticPr fontId="1" type="noConversion"/>
  </si>
  <si>
    <t>Acrylate/acryamide</t>
  </si>
  <si>
    <t>Poly(ethylene glycol) diacrylate700</t>
  </si>
  <si>
    <t>500mL</t>
  </si>
  <si>
    <t>https://www.sigmaaldrich.com/US/en/substance/polyethyleneglycoldiacrylate1234526570489</t>
  </si>
  <si>
    <t>N-isopropylacrylamide</t>
  </si>
  <si>
    <t>Sigma-Aldrich</t>
    <phoneticPr fontId="1" type="noConversion"/>
  </si>
  <si>
    <t>2210-25-5</t>
  </si>
  <si>
    <t>415324-50G</t>
    <phoneticPr fontId="1" type="noConversion"/>
  </si>
  <si>
    <t>https://www.sigmaaldrich.com/US/en/product/aldrich/415324</t>
    <phoneticPr fontId="1" type="noConversion"/>
  </si>
  <si>
    <t>N-Isopropylmethacrylamide</t>
  </si>
  <si>
    <t>423548-25G</t>
    <phoneticPr fontId="1" type="noConversion"/>
  </si>
  <si>
    <t>https://www.sigmaaldrich.com/US/en/search/n-isopropylacrylamide?focus=products&amp;page=1&amp;perpage=30&amp;sort=relevance&amp;term=N-isopropylacrylamide&amp;type=product</t>
    <phoneticPr fontId="1" type="noConversion"/>
  </si>
  <si>
    <t>N,N'-Methylenebis(acrylamide)</t>
  </si>
  <si>
    <t>N.N-dimethylacrylamide</t>
  </si>
  <si>
    <t>2024 oct</t>
  </si>
  <si>
    <t>Acrylic acid</t>
  </si>
  <si>
    <t>79-10-7</t>
  </si>
  <si>
    <t>2-Aminoethyl methacrylate hysrochloride, 90%, stabilized</t>
  </si>
  <si>
    <t>Acros Organics</t>
  </si>
  <si>
    <t>2-Hydroxy-2-methylpropiophenone 97%</t>
  </si>
  <si>
    <t>2-Hydroxyethyl methacrylate</t>
  </si>
  <si>
    <t>Furfuryl methacrylate</t>
  </si>
  <si>
    <t>454-28-2</t>
  </si>
  <si>
    <t>2-HYDROXYETHYL ACRYLATE, 96%</t>
  </si>
  <si>
    <t>818-61-1</t>
  </si>
  <si>
    <t>292818-250ML</t>
  </si>
  <si>
    <t>Cyanoacetic acid</t>
  </si>
  <si>
    <t>372-09-8</t>
  </si>
  <si>
    <t>C88505-25G</t>
  </si>
  <si>
    <t>https://www.sigmaaldrich.com/US/en/product/aldrich/c88505</t>
  </si>
  <si>
    <t>Isobornyl acrylate</t>
  </si>
  <si>
    <t>5888-33-5</t>
  </si>
  <si>
    <t>100/500ML</t>
  </si>
  <si>
    <t>Ethylene glycol phenyl ether acrylate</t>
  </si>
  <si>
    <t>48145-04-6</t>
  </si>
  <si>
    <t>408336-259ML</t>
  </si>
  <si>
    <t>3-Furoic acid</t>
  </si>
  <si>
    <t>Solvent</t>
    <phoneticPr fontId="1" type="noConversion"/>
  </si>
  <si>
    <t xml:space="preserve">Acetone </t>
  </si>
  <si>
    <t>179124-4L</t>
  </si>
  <si>
    <t>ETHYL ALCOHOL</t>
  </si>
  <si>
    <t>459844-4L</t>
  </si>
  <si>
    <t>Dimethyl sulfoxide (DMSO)</t>
  </si>
  <si>
    <t>67-68-5</t>
  </si>
  <si>
    <t>472301-100ML</t>
  </si>
  <si>
    <t>Dimethyl sulfoxide-d6</t>
  </si>
  <si>
    <t>CHLOROFORM-D, 99.8 ATOM % D</t>
  </si>
  <si>
    <t>865-49-6</t>
  </si>
  <si>
    <t>151823-100G</t>
  </si>
  <si>
    <t>(METHYL SULFOXIDE)-D6, 99.9 ATOM % D</t>
  </si>
  <si>
    <t>296147-25G</t>
  </si>
  <si>
    <t>DEUTERIUM OXIDE, 99.9 ATOM % D</t>
  </si>
  <si>
    <t>7789-20-0</t>
  </si>
  <si>
    <t>151882-100G</t>
  </si>
  <si>
    <t>TOLUENE, HPLC PLUS, FOR HPLC</t>
  </si>
  <si>
    <t>108-88-3</t>
  </si>
  <si>
    <t>650579-1L</t>
  </si>
  <si>
    <t>Chloroform</t>
  </si>
  <si>
    <t>67-66-3</t>
  </si>
  <si>
    <t>C2432-1L</t>
  </si>
  <si>
    <t>1L</t>
    <phoneticPr fontId="1" type="noConversion"/>
  </si>
  <si>
    <t>67-66-3</t>
    <phoneticPr fontId="1" type="noConversion"/>
  </si>
  <si>
    <t xml:space="preserve">C2432-500ML </t>
  </si>
  <si>
    <t>Methanol</t>
  </si>
  <si>
    <t>67-56-1</t>
  </si>
  <si>
    <t>179337-1L</t>
  </si>
  <si>
    <t>https://www.sigmaaldrich.com/US/en/product/sigald/c2432</t>
  </si>
  <si>
    <t xml:space="preserve">Isopropanol </t>
    <phoneticPr fontId="1" type="noConversion"/>
  </si>
  <si>
    <t>https://www.sigmaaldrich.com/US/en/search/hydrochloric-acid?focus=products&amp;page=1&amp;perpage=30&amp;sort=relevance&amp;term=Hydrochloric%20acid&amp;type=product</t>
  </si>
  <si>
    <t>Tetrahydrofuran</t>
  </si>
  <si>
    <t>109-99-9</t>
  </si>
  <si>
    <t>34865-1L</t>
  </si>
  <si>
    <t>1L</t>
  </si>
  <si>
    <t>N,N-Dimethylformamide</t>
  </si>
  <si>
    <t>68-12-2</t>
  </si>
  <si>
    <t>270547-1L</t>
  </si>
  <si>
    <t>https://www.sigmaaldrich.com/US/en/product/sigald/270547</t>
  </si>
  <si>
    <t>Fillers and particles</t>
    <phoneticPr fontId="1" type="noConversion"/>
  </si>
  <si>
    <t>Glass fiber</t>
    <phoneticPr fontId="1" type="noConversion"/>
  </si>
  <si>
    <t>2025 Jan</t>
  </si>
  <si>
    <t>Silica, fumed (powder, 0.2-0.3 μm avg. part. size )</t>
  </si>
  <si>
    <t xml:space="preserve">
112945-52-5</t>
  </si>
  <si>
    <t>S5505-100G</t>
  </si>
  <si>
    <t>https://www.sigmaaldrich.com/US/en/product/sigma/s5505</t>
    <phoneticPr fontId="1" type="noConversion"/>
  </si>
  <si>
    <t>Laponite</t>
  </si>
  <si>
    <t>BYK USA INC</t>
    <phoneticPr fontId="1" type="noConversion"/>
  </si>
  <si>
    <t>(free samples)</t>
    <phoneticPr fontId="1" type="noConversion"/>
  </si>
  <si>
    <t>https://www.byk.com/en/products/additive-guide/laponite-rd</t>
    <phoneticPr fontId="1" type="noConversion"/>
  </si>
  <si>
    <t>Nano silica</t>
    <phoneticPr fontId="1" type="noConversion"/>
  </si>
  <si>
    <t>Myristyl Myristate</t>
  </si>
  <si>
    <t>WholesaleSuppliesPlus</t>
    <phoneticPr fontId="1" type="noConversion"/>
  </si>
  <si>
    <t>2 oz</t>
    <phoneticPr fontId="1" type="noConversion"/>
  </si>
  <si>
    <t>Tergitol solution</t>
  </si>
  <si>
    <t>NP40S-100ML</t>
  </si>
  <si>
    <t>https://www.sigmaaldrich.com/US/en/product/sigma/np40s?srsltid=AfmBOopDfA8BTrztj4oTt2oS1i-VmvT4Ekc_J7rK1I8jwFtgusVCtEgX</t>
  </si>
  <si>
    <t>Moo Gloo TI Transglutaminase</t>
  </si>
  <si>
    <t>1203-50</t>
  </si>
  <si>
    <t xml:space="preserve">Activa RM Transglutaminase </t>
  </si>
  <si>
    <t>1000-10</t>
  </si>
  <si>
    <t>EBECRYL 114  radiation curing resins</t>
  </si>
  <si>
    <t>allnex</t>
  </si>
  <si>
    <t>1kg</t>
  </si>
  <si>
    <t>EBECRYL 8413  radiation curing resins</t>
  </si>
  <si>
    <t>Space (~1000 square feet)</t>
    <phoneticPr fontId="1" type="noConversion"/>
  </si>
  <si>
    <t>Lab space</t>
    <phoneticPr fontId="1" type="noConversion"/>
  </si>
  <si>
    <r>
      <rPr>
        <b/>
        <sz val="11"/>
        <rFont val="Arial"/>
        <family val="2"/>
      </rPr>
      <t>Wet chemitry area with water sink</t>
    </r>
    <r>
      <rPr>
        <sz val="11"/>
        <rFont val="Arial"/>
        <family val="2"/>
      </rPr>
      <t>: 2+ fume hood and bench areas for synthesis and materials processing</t>
    </r>
    <phoneticPr fontId="1" type="noConversion"/>
  </si>
  <si>
    <r>
      <rPr>
        <b/>
        <sz val="11"/>
        <rFont val="Arial"/>
        <family val="2"/>
      </rPr>
      <t>Manufacturing area</t>
    </r>
    <r>
      <rPr>
        <sz val="11"/>
        <rFont val="Arial"/>
        <family val="2"/>
      </rPr>
      <t xml:space="preserve">: ultrasound printing and other fabrication </t>
    </r>
    <phoneticPr fontId="1" type="noConversion"/>
  </si>
  <si>
    <r>
      <rPr>
        <b/>
        <sz val="11"/>
        <rFont val="Arial"/>
        <family val="2"/>
      </rPr>
      <t>Chaterization area</t>
    </r>
    <r>
      <rPr>
        <sz val="11"/>
        <rFont val="Arial"/>
        <family val="2"/>
      </rPr>
      <t>: tables for material charerization equipments</t>
    </r>
    <phoneticPr fontId="1" type="noConversion"/>
  </si>
  <si>
    <r>
      <t xml:space="preserve">Cell cultrue space: </t>
    </r>
    <r>
      <rPr>
        <sz val="11"/>
        <rFont val="Arial"/>
        <family val="2"/>
      </rPr>
      <t xml:space="preserve">1 Biosafety cabinet (3-5 feet wide) cell culture and manipulation </t>
    </r>
    <phoneticPr fontId="1" type="noConversion"/>
  </si>
  <si>
    <t>Need a temporary space during  rennovation</t>
    <phoneticPr fontId="1" type="noConversion"/>
  </si>
  <si>
    <t>Office space</t>
    <phoneticPr fontId="1" type="noConversion"/>
  </si>
  <si>
    <t>Office for PI &amp; 6+ students/postdocs</t>
    <phoneticPr fontId="1" type="noConversion"/>
  </si>
  <si>
    <t>Budget for 3 years</t>
    <phoneticPr fontId="1" type="noConversion"/>
  </si>
  <si>
    <t>% of</t>
  </si>
  <si>
    <t>Category</t>
  </si>
  <si>
    <t>Content</t>
  </si>
  <si>
    <t>Vendor and Model</t>
    <phoneticPr fontId="1" type="noConversion"/>
  </si>
  <si>
    <t>Description</t>
  </si>
  <si>
    <t>Cost</t>
  </si>
  <si>
    <t>Total</t>
  </si>
  <si>
    <t>Subtotal</t>
  </si>
  <si>
    <t>Utrasound imgaing/printing equipment</t>
    <phoneticPr fontId="1" type="noConversion"/>
  </si>
  <si>
    <t xml:space="preserve">Radio-frequency power amplifier </t>
    <phoneticPr fontId="1" type="noConversion"/>
  </si>
  <si>
    <t>Electronics &amp; Innovation, Ltd., 325LA</t>
    <phoneticPr fontId="1" type="noConversion"/>
  </si>
  <si>
    <t>(2x) Power supply for focused ultrasound</t>
    <phoneticPr fontId="1" type="noConversion"/>
  </si>
  <si>
    <t>Vantage platform</t>
    <phoneticPr fontId="1" type="noConversion"/>
  </si>
  <si>
    <t>Vantage 64LE</t>
    <phoneticPr fontId="1" type="noConversion"/>
  </si>
  <si>
    <t>Transmit and reciver for transducers</t>
    <phoneticPr fontId="1" type="noConversion"/>
  </si>
  <si>
    <t>FUS transducer1</t>
    <phoneticPr fontId="1" type="noConversion"/>
  </si>
  <si>
    <t>Sonic Concepts,H-148</t>
    <phoneticPr fontId="1" type="noConversion"/>
  </si>
  <si>
    <t>Ultrasound generator for engineering and health</t>
    <phoneticPr fontId="1" type="noConversion"/>
  </si>
  <si>
    <t>FUS transducer2</t>
    <phoneticPr fontId="1" type="noConversion"/>
  </si>
  <si>
    <t>Sonic Concepts, SU-101</t>
    <phoneticPr fontId="1" type="noConversion"/>
  </si>
  <si>
    <t xml:space="preserve">Ultrasound generator for engineering </t>
    <phoneticPr fontId="1" type="noConversion"/>
  </si>
  <si>
    <t>Digital oscilloscope</t>
    <phoneticPr fontId="1" type="noConversion"/>
  </si>
  <si>
    <t>DS1202Z RIGOL</t>
    <phoneticPr fontId="1" type="noConversion"/>
  </si>
  <si>
    <t xml:space="preserve">Record eletrical signals </t>
    <phoneticPr fontId="1" type="noConversion"/>
  </si>
  <si>
    <t>Data acquisition systems</t>
    <phoneticPr fontId="1" type="noConversion"/>
  </si>
  <si>
    <t xml:space="preserve">Keysight DAQ970A </t>
    <phoneticPr fontId="1" type="noConversion"/>
  </si>
  <si>
    <t>Digital data generation, acquisition, and analysis</t>
    <phoneticPr fontId="1" type="noConversion"/>
  </si>
  <si>
    <t>Transducer Matching Box</t>
  </si>
  <si>
    <t>MB1100</t>
  </si>
  <si>
    <t>maximize the power transfer</t>
    <phoneticPr fontId="1" type="noConversion"/>
  </si>
  <si>
    <t>Fiber hydrophone</t>
    <phoneticPr fontId="1" type="noConversion"/>
  </si>
  <si>
    <t>RP acoustics, FOPH 2000</t>
  </si>
  <si>
    <t>Measure acoustic pressure</t>
    <phoneticPr fontId="1" type="noConversion"/>
  </si>
  <si>
    <t>Longitudinal planar transducer</t>
    <phoneticPr fontId="1" type="noConversion"/>
  </si>
  <si>
    <t>V213, Olympus</t>
    <phoneticPr fontId="1" type="noConversion"/>
  </si>
  <si>
    <t>measure the acoustic parameters (1 reciver&amp; 1transmitter )</t>
    <phoneticPr fontId="1" type="noConversion"/>
  </si>
  <si>
    <t>Translation stage</t>
    <phoneticPr fontId="1" type="noConversion"/>
  </si>
  <si>
    <t xml:space="preserve">Creality 3D Printer Ender 5 Plus FDM Printer </t>
    <phoneticPr fontId="1" type="noConversion"/>
  </si>
  <si>
    <t>Top-down control FUS movement</t>
    <phoneticPr fontId="1" type="noConversion"/>
  </si>
  <si>
    <t>Motorized Stages with adaptor</t>
    <phoneticPr fontId="1" type="noConversion"/>
  </si>
  <si>
    <t>ThorLab LTS150C + LTSP1</t>
    <phoneticPr fontId="1" type="noConversion"/>
  </si>
  <si>
    <t xml:space="preserve">Precision stage for FUS movement </t>
    <phoneticPr fontId="1" type="noConversion"/>
  </si>
  <si>
    <t xml:space="preserve">LabVIEW software </t>
    <phoneticPr fontId="1" type="noConversion"/>
  </si>
  <si>
    <t>LabVIEW suite</t>
    <phoneticPr fontId="1" type="noConversion"/>
  </si>
  <si>
    <t>Graphical programming. On-Demand Virtual Demos</t>
    <phoneticPr fontId="1" type="noConversion"/>
  </si>
  <si>
    <t>Material preparation equipment</t>
    <phoneticPr fontId="1" type="noConversion"/>
  </si>
  <si>
    <t>Mixer</t>
  </si>
  <si>
    <t>Thinky, AR-100</t>
    <phoneticPr fontId="1" type="noConversion"/>
  </si>
  <si>
    <t>Efficient mixing and degasing of materials</t>
  </si>
  <si>
    <t>Convection Oven</t>
    <phoneticPr fontId="1" type="noConversion"/>
  </si>
  <si>
    <t>Quincy Lab 20GCE</t>
    <phoneticPr fontId="1" type="noConversion"/>
  </si>
  <si>
    <t>(2x)Heating oven with precision temperature control</t>
    <phoneticPr fontId="1" type="noConversion"/>
  </si>
  <si>
    <t>Pump</t>
  </si>
  <si>
    <t>PROVAC, nXDS</t>
    <phoneticPr fontId="1" type="noConversion"/>
  </si>
  <si>
    <t>Vaccum chamber</t>
  </si>
  <si>
    <t>Freeze Dryer</t>
  </si>
  <si>
    <t>FreezeZone, -50C</t>
  </si>
  <si>
    <t>Sample fabrication</t>
  </si>
  <si>
    <t xml:space="preserve">Stirring Hotplates </t>
    <phoneticPr fontId="1" type="noConversion"/>
  </si>
  <si>
    <t>Thermo Scientific™</t>
    <phoneticPr fontId="1" type="noConversion"/>
  </si>
  <si>
    <t xml:space="preserve">2 sets heating stage for sample preparation </t>
    <phoneticPr fontId="1" type="noConversion"/>
  </si>
  <si>
    <t>Magnetic Stirring Hotplate with sensor</t>
    <phoneticPr fontId="1" type="noConversion"/>
  </si>
  <si>
    <t xml:space="preserve">IKA™ RET </t>
    <phoneticPr fontId="1" type="noConversion"/>
  </si>
  <si>
    <t>Vaccum Chamber</t>
  </si>
  <si>
    <t>Nalgene, 5305-0910</t>
  </si>
  <si>
    <t>Sample preparation</t>
  </si>
  <si>
    <t xml:space="preserve">Syringe pump </t>
    <phoneticPr fontId="1" type="noConversion"/>
  </si>
  <si>
    <t>InfusionONE Single Channel Syringe Pump</t>
    <phoneticPr fontId="1" type="noConversion"/>
  </si>
  <si>
    <t>(3x)Precision injection of fluids</t>
    <phoneticPr fontId="1" type="noConversion"/>
  </si>
  <si>
    <t>Rotary Evaporator</t>
    <phoneticPr fontId="1" type="noConversion"/>
  </si>
  <si>
    <t>BUCHI 11100C212</t>
    <phoneticPr fontId="1" type="noConversion"/>
  </si>
  <si>
    <t>Solvent removal and seperation</t>
    <phoneticPr fontId="1" type="noConversion"/>
  </si>
  <si>
    <t>UV lamp</t>
    <phoneticPr fontId="1" type="noConversion"/>
  </si>
  <si>
    <t>OmniCure S2000</t>
    <phoneticPr fontId="1" type="noConversion"/>
  </si>
  <si>
    <t>light source for curing of polymer</t>
    <phoneticPr fontId="1" type="noConversion"/>
  </si>
  <si>
    <t>Material characterization equipment</t>
    <phoneticPr fontId="1" type="noConversion"/>
  </si>
  <si>
    <t>Rheometer (customize)</t>
    <phoneticPr fontId="1" type="noConversion"/>
  </si>
  <si>
    <t>Discovery Hybrid Rheometer</t>
    <phoneticPr fontId="1" type="noConversion"/>
  </si>
  <si>
    <t xml:space="preserve">Measure polymer mechanical and rheological property </t>
    <phoneticPr fontId="1" type="noConversion"/>
  </si>
  <si>
    <t>FTIR spectroscope (customize)</t>
    <phoneticPr fontId="1" type="noConversion"/>
  </si>
  <si>
    <t>iS50 FTIR spectrometers</t>
    <phoneticPr fontId="1" type="noConversion"/>
  </si>
  <si>
    <t>Chemical characterizations</t>
    <phoneticPr fontId="1" type="noConversion"/>
  </si>
  <si>
    <t>fluorescence microscope</t>
    <phoneticPr fontId="1" type="noConversion"/>
  </si>
  <si>
    <t>Optical characterization</t>
  </si>
  <si>
    <t>IR Thermal carema</t>
    <phoneticPr fontId="1" type="noConversion"/>
  </si>
  <si>
    <t>Seek Thermal CompactPRO</t>
    <phoneticPr fontId="1" type="noConversion"/>
  </si>
  <si>
    <t>High Resolution Thermal Imaging Camera</t>
    <phoneticPr fontId="1" type="noConversion"/>
  </si>
  <si>
    <t>Cell culture</t>
    <phoneticPr fontId="1" type="noConversion"/>
  </si>
  <si>
    <t>Incubator (CO2 supply)</t>
    <phoneticPr fontId="1" type="noConversion"/>
  </si>
  <si>
    <t>Thermo Scientific Forma  Series 3</t>
    <phoneticPr fontId="1" type="noConversion"/>
  </si>
  <si>
    <t>and animal experiments</t>
    <phoneticPr fontId="1" type="noConversion"/>
  </si>
  <si>
    <t>Freezer (-20oC)</t>
    <phoneticPr fontId="1" type="noConversion"/>
  </si>
  <si>
    <t>VWR</t>
  </si>
  <si>
    <t>strore biological relavent samples and media</t>
    <phoneticPr fontId="1" type="noConversion"/>
  </si>
  <si>
    <t>Animals purchase and housing</t>
    <phoneticPr fontId="1" type="noConversion"/>
  </si>
  <si>
    <t xml:space="preserve">Liquid Nitrogen Dewar </t>
    <phoneticPr fontId="1" type="noConversion"/>
  </si>
  <si>
    <t>6L Liquid Nitrogen Dewa</t>
    <phoneticPr fontId="1" type="noConversion"/>
  </si>
  <si>
    <t>Cryopreservation of cells</t>
    <phoneticPr fontId="1" type="noConversion"/>
  </si>
  <si>
    <t>use of shared</t>
    <phoneticPr fontId="1" type="noConversion"/>
  </si>
  <si>
    <t>training</t>
  </si>
  <si>
    <t>facility system</t>
    <phoneticPr fontId="1" type="noConversion"/>
  </si>
  <si>
    <t>Differential Scanning Calorimetry</t>
    <phoneticPr fontId="1" type="noConversion"/>
  </si>
  <si>
    <t>300 hours</t>
    <phoneticPr fontId="1" type="noConversion"/>
  </si>
  <si>
    <t>Thermo Gravimetric Analysis</t>
    <phoneticPr fontId="1" type="noConversion"/>
  </si>
  <si>
    <t>200 hours</t>
    <phoneticPr fontId="1" type="noConversion"/>
  </si>
  <si>
    <t>Dynamic Mechanical Analysis</t>
    <phoneticPr fontId="1" type="noConversion"/>
  </si>
  <si>
    <t>400 hours</t>
    <phoneticPr fontId="1" type="noConversion"/>
  </si>
  <si>
    <t>Gel Permeation Chromatograph</t>
    <phoneticPr fontId="1" type="noConversion"/>
  </si>
  <si>
    <t>100 hours</t>
    <phoneticPr fontId="1" type="noConversion"/>
  </si>
  <si>
    <t>Atomic Force Microscope</t>
    <phoneticPr fontId="1" type="noConversion"/>
  </si>
  <si>
    <t>UV-Visible Spectroscopy</t>
  </si>
  <si>
    <t>60 hours</t>
    <phoneticPr fontId="1" type="noConversion"/>
  </si>
  <si>
    <t>Gold Sputterer</t>
  </si>
  <si>
    <t xml:space="preserve">XRD </t>
    <phoneticPr fontId="1" type="noConversion"/>
  </si>
  <si>
    <t>TEM</t>
    <phoneticPr fontId="1" type="noConversion"/>
  </si>
  <si>
    <t>Scanning electron microscope</t>
    <phoneticPr fontId="1" type="noConversion"/>
  </si>
  <si>
    <t>confocal microscope</t>
    <phoneticPr fontId="1" type="noConversion"/>
  </si>
  <si>
    <t>?</t>
    <phoneticPr fontId="1" type="noConversion"/>
  </si>
  <si>
    <t>access to a departmental</t>
  </si>
  <si>
    <t>desktop endmill</t>
    <phoneticPr fontId="1" type="noConversion"/>
  </si>
  <si>
    <t>machine shop</t>
    <phoneticPr fontId="1" type="noConversion"/>
  </si>
  <si>
    <t>accessories, materials</t>
  </si>
  <si>
    <t>Common equipment</t>
  </si>
  <si>
    <t>Balance1</t>
    <phoneticPr fontId="1" type="noConversion"/>
  </si>
  <si>
    <t>Mettler Toledo  ME54E</t>
    <phoneticPr fontId="1" type="noConversion"/>
  </si>
  <si>
    <t>digital, analytical</t>
    <phoneticPr fontId="1" type="noConversion"/>
  </si>
  <si>
    <t>and</t>
  </si>
  <si>
    <t>Balance2</t>
    <phoneticPr fontId="1" type="noConversion"/>
  </si>
  <si>
    <t>OHAUS™ 30529239</t>
    <phoneticPr fontId="1" type="noConversion"/>
  </si>
  <si>
    <t>digital, medium/coarse</t>
    <phoneticPr fontId="1" type="noConversion"/>
  </si>
  <si>
    <t>Vortex Mixer</t>
    <phoneticPr fontId="1" type="noConversion"/>
  </si>
  <si>
    <t>Corning LSE</t>
    <phoneticPr fontId="1" type="noConversion"/>
  </si>
  <si>
    <t>General mixing liquid smaples</t>
    <phoneticPr fontId="1" type="noConversion"/>
  </si>
  <si>
    <t>Video Tripod</t>
    <phoneticPr fontId="1" type="noConversion"/>
  </si>
  <si>
    <t>Nikon</t>
  </si>
  <si>
    <t>Sample imaging</t>
  </si>
  <si>
    <t>Shaker</t>
    <phoneticPr fontId="1" type="noConversion"/>
  </si>
  <si>
    <t>VWR® Mini Shakers</t>
    <phoneticPr fontId="1" type="noConversion"/>
  </si>
  <si>
    <t xml:space="preserve">gentle shaking and mixing solution </t>
    <phoneticPr fontId="1" type="noConversion"/>
  </si>
  <si>
    <t>Power Supply</t>
  </si>
  <si>
    <t>TestEquity</t>
  </si>
  <si>
    <t>Power supply for evaporation test</t>
  </si>
  <si>
    <t>LED</t>
  </si>
  <si>
    <t xml:space="preserve">Photography Studio </t>
    <phoneticPr fontId="1" type="noConversion"/>
  </si>
  <si>
    <t xml:space="preserve">light souce for experiment visulization  </t>
    <phoneticPr fontId="1" type="noConversion"/>
  </si>
  <si>
    <t>Camera</t>
  </si>
  <si>
    <t>Sample Imaging</t>
  </si>
  <si>
    <t>Refrigerator</t>
  </si>
  <si>
    <t>K2 Scientific, 42 Cu, Ft</t>
    <phoneticPr fontId="1" type="noConversion"/>
  </si>
  <si>
    <t>Sample storage</t>
  </si>
  <si>
    <t>Pipetman</t>
    <phoneticPr fontId="1" type="noConversion"/>
  </si>
  <si>
    <t>Fisherbrand™ Elite Pipette Kit</t>
    <phoneticPr fontId="1" type="noConversion"/>
  </si>
  <si>
    <t>2 sets 2-1000 uL adjustable Volume Pipette for liquid handle</t>
    <phoneticPr fontId="1" type="noConversion"/>
  </si>
  <si>
    <t>Ultrasonic Cleaner</t>
    <phoneticPr fontId="1" type="noConversion"/>
  </si>
  <si>
    <t>TBOND 15L</t>
    <phoneticPr fontId="1" type="noConversion"/>
  </si>
  <si>
    <t>washing and dispersion</t>
    <phoneticPr fontId="1" type="noConversion"/>
  </si>
  <si>
    <t>water bath</t>
    <phoneticPr fontId="1" type="noConversion"/>
  </si>
  <si>
    <t xml:space="preserve">Cole-Parmer WB-400 </t>
    <phoneticPr fontId="1" type="noConversion"/>
  </si>
  <si>
    <t>water bath for heating and mixing samples</t>
    <phoneticPr fontId="1" type="noConversion"/>
  </si>
  <si>
    <t>Heat gun</t>
  </si>
  <si>
    <t xml:space="preserve">heating </t>
    <phoneticPr fontId="1" type="noConversion"/>
  </si>
  <si>
    <t>lab cart</t>
  </si>
  <si>
    <t>pH meter</t>
    <phoneticPr fontId="1" type="noConversion"/>
  </si>
  <si>
    <t>Ohaus® pH Meter</t>
    <phoneticPr fontId="1" type="noConversion"/>
  </si>
  <si>
    <t>timers</t>
  </si>
  <si>
    <t>tools (screwdrivers, drill, etc.)</t>
    <phoneticPr fontId="1" type="noConversion"/>
  </si>
  <si>
    <t>misc:stir bars, tweezers, spatulas, Parafilm,screw, nuts, cables, small eletronics etc.</t>
    <phoneticPr fontId="1" type="noConversion"/>
  </si>
  <si>
    <t>Safety equipment</t>
    <phoneticPr fontId="1" type="noConversion"/>
  </si>
  <si>
    <t>gloves for hot/cold/dry ice</t>
  </si>
  <si>
    <t>sharps containers</t>
  </si>
  <si>
    <t>broken glass containers</t>
  </si>
  <si>
    <t>flammable liquids safety cabinet</t>
  </si>
  <si>
    <t>chemical safety cabinet</t>
  </si>
  <si>
    <t>safety goggles</t>
  </si>
  <si>
    <t>first-aid kit</t>
  </si>
  <si>
    <t>eye-wash shower station</t>
    <phoneticPr fontId="1" type="noConversion"/>
  </si>
  <si>
    <t>(various;may covere by renovation funds)</t>
    <phoneticPr fontId="1" type="noConversion"/>
  </si>
  <si>
    <t>Supplies</t>
  </si>
  <si>
    <t>consumables (general)</t>
    <phoneticPr fontId="1" type="noConversion"/>
  </si>
  <si>
    <t>(See consumables list in sheet2)</t>
    <phoneticPr fontId="1" type="noConversion"/>
  </si>
  <si>
    <t>various glassware, gloves, dishes, pipettes, slides, tools</t>
    <phoneticPr fontId="1" type="noConversion"/>
  </si>
  <si>
    <t>consumables (cell-culture)</t>
    <phoneticPr fontId="1" type="noConversion"/>
  </si>
  <si>
    <t>Plasticwares, cell lines</t>
    <phoneticPr fontId="1" type="noConversion"/>
  </si>
  <si>
    <t>chemicals (common)</t>
    <phoneticPr fontId="1" type="noConversion"/>
  </si>
  <si>
    <t>(see typical chemicals in sheet3)</t>
    <phoneticPr fontId="1" type="noConversion"/>
  </si>
  <si>
    <t>chemicals, raw materials</t>
    <phoneticPr fontId="1" type="noConversion"/>
  </si>
  <si>
    <t>Reagents and assays</t>
    <phoneticPr fontId="1" type="noConversion"/>
  </si>
  <si>
    <t>cellular assays, culture medium and supplements</t>
    <phoneticPr fontId="1" type="noConversion"/>
  </si>
  <si>
    <t>Office</t>
  </si>
  <si>
    <t>computing</t>
  </si>
  <si>
    <t>MacBook Pro</t>
  </si>
  <si>
    <t>widescreen monitor</t>
  </si>
  <si>
    <t>PC</t>
    <phoneticPr fontId="1" type="noConversion"/>
  </si>
  <si>
    <t>KVM switch</t>
    <phoneticPr fontId="1" type="noConversion"/>
  </si>
  <si>
    <t>PC + monitor for postdoc and students(6)</t>
    <phoneticPr fontId="1" type="noConversion"/>
  </si>
  <si>
    <t>software</t>
  </si>
  <si>
    <t xml:space="preserve">Windows </t>
    <phoneticPr fontId="1" type="noConversion"/>
  </si>
  <si>
    <t>MS Office</t>
  </si>
  <si>
    <t>Photoshop</t>
  </si>
  <si>
    <t>Illustrator</t>
  </si>
  <si>
    <t>Virus/Security</t>
  </si>
  <si>
    <t>Acrobat</t>
    <phoneticPr fontId="1" type="noConversion"/>
  </si>
  <si>
    <t>EndNote, other software</t>
  </si>
  <si>
    <t>printing</t>
  </si>
  <si>
    <t>color laser printer</t>
  </si>
  <si>
    <t>paper</t>
  </si>
  <si>
    <t>color toner cartridges</t>
  </si>
  <si>
    <t>food fridge and microwave</t>
  </si>
  <si>
    <t>misc. supplies</t>
    <phoneticPr fontId="1" type="noConversion"/>
  </si>
  <si>
    <t>pens, notebooks, folders, textbooks, lab notebook journals</t>
    <phoneticPr fontId="1" type="noConversion"/>
  </si>
  <si>
    <t>professional associations, meetings, travel</t>
    <phoneticPr fontId="1" type="noConversion"/>
  </si>
  <si>
    <t xml:space="preserve"> (twice a year)</t>
    <phoneticPr fontId="1" type="noConversion"/>
  </si>
  <si>
    <t>furniture</t>
  </si>
  <si>
    <t>(various;may cover by renovation funds)</t>
    <phoneticPr fontId="1" type="noConversion"/>
  </si>
  <si>
    <t>Personnel</t>
  </si>
  <si>
    <t>Staff, student</t>
    <phoneticPr fontId="1" type="noConversion"/>
  </si>
  <si>
    <t>grad student</t>
  </si>
  <si>
    <t>salary</t>
  </si>
  <si>
    <t>assumes 1 postdoc</t>
  </si>
  <si>
    <t>tuition</t>
  </si>
  <si>
    <t>benefits</t>
  </si>
  <si>
    <t>postdoc</t>
  </si>
  <si>
    <t>(assume cost is $60000K/yr x 2 yrs)</t>
    <phoneticPr fontId="1" type="noConversion"/>
  </si>
  <si>
    <t>(40% of salary)</t>
  </si>
  <si>
    <t>Equipment, materials, supplies, animals</t>
  </si>
  <si>
    <t>Budget Total</t>
  </si>
  <si>
    <t>Vendor and Model</t>
  </si>
  <si>
    <t>Cost</t>
    <phoneticPr fontId="1" type="noConversion"/>
  </si>
  <si>
    <t xml:space="preserve">General </t>
    <phoneticPr fontId="1" type="noConversion"/>
  </si>
  <si>
    <t>Glassware</t>
  </si>
  <si>
    <t>Kimble Lab Starter Kit</t>
  </si>
  <si>
    <t>Gloves</t>
  </si>
  <si>
    <t>Petri Dishes</t>
  </si>
  <si>
    <t>Weighing boats</t>
  </si>
  <si>
    <t>Disposable spatulas</t>
    <phoneticPr fontId="1" type="noConversion"/>
  </si>
  <si>
    <t>Parafilm</t>
  </si>
  <si>
    <t>Pipette tip (1-200 ul)</t>
  </si>
  <si>
    <t>Pipette tip (100-1000 ul)</t>
  </si>
  <si>
    <t>Kimwipes</t>
  </si>
  <si>
    <t>BD syringe (1,3,10 ml)</t>
    <phoneticPr fontId="1" type="noConversion"/>
  </si>
  <si>
    <t>Female luer coupler</t>
  </si>
  <si>
    <t>20 mL vials</t>
  </si>
  <si>
    <t>Acrylic plate</t>
    <phoneticPr fontId="1" type="noConversion"/>
  </si>
  <si>
    <t>Mcmaster</t>
  </si>
  <si>
    <t>Microscope slide</t>
  </si>
  <si>
    <t>Super glue</t>
  </si>
  <si>
    <t>Amazon</t>
  </si>
  <si>
    <t>PDMS</t>
    <phoneticPr fontId="1" type="noConversion"/>
  </si>
  <si>
    <t>Ellsworth</t>
    <phoneticPr fontId="1" type="noConversion"/>
  </si>
  <si>
    <t>Epoxy glue</t>
    <phoneticPr fontId="1" type="noConversion"/>
  </si>
  <si>
    <t>Nitrogen</t>
  </si>
  <si>
    <t>Airgas</t>
  </si>
  <si>
    <t>Blade</t>
  </si>
  <si>
    <t>Cooling Fan</t>
  </si>
  <si>
    <t>Digital humidity meter</t>
  </si>
  <si>
    <t>Scotch Tape</t>
  </si>
  <si>
    <t>Multimeter</t>
  </si>
  <si>
    <t>Aluminum foil</t>
  </si>
  <si>
    <t>Revnolds Wrap</t>
  </si>
  <si>
    <t>Mechanical toolbox</t>
  </si>
  <si>
    <t>Kobalt</t>
  </si>
  <si>
    <t>Cabinate toolbox</t>
  </si>
  <si>
    <t>Husky</t>
  </si>
  <si>
    <t>dialysis membrane</t>
    <phoneticPr fontId="1" type="noConversion"/>
  </si>
  <si>
    <t xml:space="preserve">Specturm </t>
    <phoneticPr fontId="1" type="noConversion"/>
  </si>
  <si>
    <t>Centrifuge tubes/bottles</t>
    <phoneticPr fontId="1" type="noConversion"/>
  </si>
  <si>
    <t>VWR</t>
    <phoneticPr fontId="1" type="noConversion"/>
  </si>
  <si>
    <t>Other general consumables</t>
    <phoneticPr fontId="1" type="noConversion"/>
  </si>
  <si>
    <t>Wellplates</t>
    <phoneticPr fontId="1" type="noConversion"/>
  </si>
  <si>
    <t>Corning</t>
    <phoneticPr fontId="1" type="noConversion"/>
  </si>
  <si>
    <t>Bacteriological Petri Dish</t>
    <phoneticPr fontId="1" type="noConversion"/>
  </si>
  <si>
    <t xml:space="preserve"> Thermo fisher</t>
    <phoneticPr fontId="1" type="noConversion"/>
  </si>
  <si>
    <t>Liquid Nitrogen</t>
  </si>
  <si>
    <t>Air Products</t>
  </si>
  <si>
    <t>Syringe filters</t>
    <phoneticPr fontId="1" type="noConversion"/>
  </si>
  <si>
    <t xml:space="preserve">Pipettes </t>
  </si>
  <si>
    <t>Cell Culture Flasks</t>
    <phoneticPr fontId="1" type="noConversion"/>
  </si>
  <si>
    <t>Sterile Vacuum Filtration System</t>
    <phoneticPr fontId="1" type="noConversion"/>
  </si>
  <si>
    <t>HEPA filters</t>
    <phoneticPr fontId="1" type="noConversion"/>
  </si>
  <si>
    <t>Cell lines (NIH 3T3, MSC)</t>
    <phoneticPr fontId="1" type="noConversion"/>
  </si>
  <si>
    <t>ATCC</t>
    <phoneticPr fontId="1" type="noConversion"/>
  </si>
  <si>
    <t>Cell culture reagents</t>
    <phoneticPr fontId="1" type="noConversion"/>
  </si>
  <si>
    <t>Alexa Fluor™ 488 Phalloidin</t>
    <phoneticPr fontId="1" type="noConversion"/>
  </si>
  <si>
    <t xml:space="preserve"> Thermo Fisher</t>
    <phoneticPr fontId="1" type="noConversion"/>
  </si>
  <si>
    <t>Live/dead assay</t>
    <phoneticPr fontId="1" type="noConversion"/>
  </si>
  <si>
    <t>Trypsin-EDTA (10X)</t>
    <phoneticPr fontId="1" type="noConversion"/>
  </si>
  <si>
    <t>DPBS</t>
    <phoneticPr fontId="1" type="noConversion"/>
  </si>
  <si>
    <t>DMEM medium</t>
    <phoneticPr fontId="1" type="noConversion"/>
  </si>
  <si>
    <t>First antibody</t>
    <phoneticPr fontId="1" type="noConversion"/>
  </si>
  <si>
    <t>Second antibody</t>
    <phoneticPr fontId="1" type="noConversion"/>
  </si>
  <si>
    <t>MTS assay</t>
    <phoneticPr fontId="1" type="noConversion"/>
  </si>
  <si>
    <t>Fetal Bovine Serum</t>
    <phoneticPr fontId="1" type="noConversion"/>
  </si>
  <si>
    <t>Formalin</t>
    <phoneticPr fontId="1" type="noConversion"/>
  </si>
  <si>
    <t>Disinfection alcohol</t>
    <phoneticPr fontId="1" type="noConversion"/>
  </si>
  <si>
    <t>misc: bleach,hand soup,bactericidal agent …</t>
    <phoneticPr fontId="1" type="noConversion"/>
  </si>
  <si>
    <t>Surfactant</t>
  </si>
  <si>
    <t>Span 80 Sorbitan Monool</t>
  </si>
  <si>
    <t>TCI American</t>
  </si>
  <si>
    <t>S0060500G</t>
  </si>
  <si>
    <t>1338-43-8</t>
  </si>
  <si>
    <t>Lecithin Refined 250 g</t>
  </si>
  <si>
    <t>Thermo Scientific</t>
  </si>
  <si>
    <t>250g</t>
  </si>
  <si>
    <t>8002-43-5</t>
  </si>
  <si>
    <t>AA3648630</t>
  </si>
  <si>
    <t>Pluronic F-68 Polyol</t>
  </si>
  <si>
    <t>MP Biomedicals</t>
  </si>
  <si>
    <t>100g</t>
  </si>
  <si>
    <t>MP92750016</t>
  </si>
  <si>
    <t>`</t>
  </si>
  <si>
    <t>POLYCAPROLACTONE DIOL, AVERAGE MN CA. 5</t>
  </si>
  <si>
    <t>Aldrich</t>
  </si>
  <si>
    <t>00036890-68-3</t>
  </si>
  <si>
    <t>18405-250G</t>
  </si>
  <si>
    <t>Wax</t>
  </si>
  <si>
    <t>Lauric Acid</t>
  </si>
  <si>
    <t>MM</t>
  </si>
  <si>
    <t>00000143-07-7</t>
  </si>
  <si>
    <t>Myristy Myristate</t>
  </si>
  <si>
    <t>Wholesale supplies plus</t>
  </si>
  <si>
    <t>2 oz</t>
  </si>
  <si>
    <t>1,1,2,2-Tetrachloroethane-d2, for NMR, 99.5+ atom% D</t>
  </si>
  <si>
    <t>AC321310250</t>
  </si>
  <si>
    <t>33685-54-0 </t>
  </si>
  <si>
    <t>Fisher Scientific</t>
  </si>
  <si>
    <t>1,2-Dipalmitoyl-sn-glycero-3-phosphocholine</t>
  </si>
  <si>
    <t>50-505-663</t>
  </si>
  <si>
    <t>1,2-Dichlorobenzene-d4</t>
  </si>
  <si>
    <t>331511-1G</t>
  </si>
  <si>
    <t>2199-69-1</t>
  </si>
  <si>
    <t>Hexamethyldisilane</t>
  </si>
  <si>
    <t>217069-5G</t>
  </si>
  <si>
    <t>1450-14-2</t>
  </si>
  <si>
    <t>Poly(ethylene oxide) Mn=8,000k</t>
  </si>
  <si>
    <t>372838-250G</t>
  </si>
  <si>
    <t>8000k</t>
  </si>
  <si>
    <t>423548-25G</t>
  </si>
  <si>
    <t>13749-61-6</t>
  </si>
  <si>
    <t>Lauric acid</t>
  </si>
  <si>
    <t>143-07-7</t>
  </si>
  <si>
    <t>MultiWalled Carbon Nanotubes 20-30nm</t>
  </si>
  <si>
    <t>cheaptubes</t>
  </si>
  <si>
    <t>https://www.cheaptubes.com/product/multi-walled-carbon-nanotubes-20-30nm/</t>
  </si>
  <si>
    <t>Carbon nanofibers</t>
  </si>
  <si>
    <t>ACS Material</t>
  </si>
  <si>
    <t>308063-67-4</t>
  </si>
  <si>
    <t>https://www.acsmaterial.com/carbon-nanofibers.html</t>
  </si>
  <si>
    <t>Liposome</t>
    <phoneticPr fontId="1" type="noConversion"/>
  </si>
  <si>
    <t>DSPE-PEG 2000</t>
    <phoneticPr fontId="1" type="noConversion"/>
  </si>
  <si>
    <t>MedChem Express</t>
    <phoneticPr fontId="1" type="noConversion"/>
  </si>
  <si>
    <t>100 mg</t>
    <phoneticPr fontId="1" type="noConversion"/>
  </si>
  <si>
    <t>HY142979</t>
  </si>
  <si>
    <t>18:0 Lyso (MSPC)</t>
    <phoneticPr fontId="1" type="noConversion"/>
  </si>
  <si>
    <t>Avanti</t>
    <phoneticPr fontId="1" type="noConversion"/>
  </si>
  <si>
    <t>200 mg</t>
    <phoneticPr fontId="1" type="noConversion"/>
  </si>
  <si>
    <t>855775P-200mg</t>
    <phoneticPr fontId="1" type="noConversion"/>
  </si>
  <si>
    <t>A4544-25G</t>
    <phoneticPr fontId="1" type="noConversion"/>
  </si>
  <si>
    <t>Fisher Scientific</t>
    <phoneticPr fontId="1" type="noConversion"/>
  </si>
  <si>
    <t>FLA61-100</t>
    <phoneticPr fontId="1" type="noConversion"/>
  </si>
  <si>
    <t>Citric Acid</t>
    <phoneticPr fontId="1" type="noConversion"/>
  </si>
  <si>
    <t>A10395-30</t>
  </si>
  <si>
    <t>AAA1039530</t>
  </si>
  <si>
    <t>EDTA Disodium</t>
    <phoneticPr fontId="1" type="noConversion"/>
  </si>
  <si>
    <t xml:space="preserve"> AC409971000</t>
    <phoneticPr fontId="1" type="noConversion"/>
  </si>
  <si>
    <t>alpha-Tocopherol 95%</t>
    <phoneticPr fontId="1" type="noConversion"/>
  </si>
  <si>
    <t>Thermo Scientific</t>
    <phoneticPr fontId="1" type="noConversion"/>
  </si>
  <si>
    <t>AC428120250</t>
    <phoneticPr fontId="1" type="noConversion"/>
  </si>
  <si>
    <t xml:space="preserve">Fisher Scientific </t>
  </si>
  <si>
    <t>4L</t>
  </si>
  <si>
    <t>c607-4</t>
  </si>
  <si>
    <t>DSPE-PEG-Amine ammonium salt,MW 2,000</t>
  </si>
  <si>
    <t>BroadPharm</t>
  </si>
  <si>
    <t>1g</t>
  </si>
  <si>
    <t>474922-26-4</t>
  </si>
  <si>
    <t>BP-43715</t>
  </si>
  <si>
    <t>2025 Sep</t>
  </si>
  <si>
    <t>Trimethylolpropane triacrylate</t>
  </si>
  <si>
    <t>246808-500G</t>
  </si>
  <si>
    <t>500ml</t>
  </si>
  <si>
    <t>7575-23-7</t>
  </si>
  <si>
    <t>Poly(ethylene oxide) Mn=100k</t>
  </si>
  <si>
    <t>100k</t>
  </si>
  <si>
    <t>Poly(ethylene oxide) Mn=2,000k</t>
  </si>
  <si>
    <t>372803-250G</t>
  </si>
  <si>
    <t>2000k</t>
  </si>
  <si>
    <t xml:space="preserve">   </t>
  </si>
  <si>
    <t>Potassium persulfate</t>
  </si>
  <si>
    <t>216224-500G</t>
  </si>
  <si>
    <t>SILICA, FUMED</t>
  </si>
  <si>
    <t>S5505-500G</t>
  </si>
  <si>
    <t>SODIUM BISULFITE</t>
  </si>
  <si>
    <t>243973-500G</t>
  </si>
  <si>
    <t>Bis(2-methacryloyl)oxyethyl disulfide (DSDMA)</t>
  </si>
  <si>
    <t>735094-5G</t>
  </si>
  <si>
    <t xml:space="preserve">DIMETHYL SULFOXIDE </t>
  </si>
  <si>
    <t>FISHER SCIENTIFIC</t>
  </si>
  <si>
    <t>D1594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</si>
</sst>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"/>
    <numFmt numFmtId="165" formatCode="0_);[Red]\(0\)"/>
  </numFmts>
  <fonts count="4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u/>
      <sz val="11"/>
      <color theme="10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b/>
      <i/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Verdana"/>
      <family val="2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 Unicode MS"/>
      <family val="2"/>
      <charset val="134"/>
    </font>
    <font>
      <sz val="11"/>
      <color theme="1"/>
      <name val="Arial 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1"/>
      <name val="Arial Unicode MS"/>
      <family val="2"/>
      <charset val="134"/>
    </font>
    <font>
      <u/>
      <sz val="12"/>
      <color theme="10"/>
      <name val="Arial"/>
      <family val="2"/>
    </font>
    <font>
      <sz val="12"/>
      <name val="Arial"/>
      <family val="2"/>
    </font>
    <font>
      <u/>
      <sz val="11"/>
      <color theme="1"/>
      <name val="Arial"/>
      <family val="2"/>
    </font>
    <font>
      <u/>
      <sz val="11"/>
      <color theme="1"/>
      <name val="Calibri"/>
      <family val="2"/>
      <charset val="134"/>
      <scheme val="minor"/>
    </font>
    <font>
      <sz val="9"/>
      <color theme="1"/>
      <name val="Segoe UI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u/>
      <sz val="11"/>
      <color rgb="FFFF0000"/>
      <name val="Calibri"/>
      <family val="2"/>
      <charset val="134"/>
      <scheme val="minor"/>
    </font>
    <font>
      <u/>
      <sz val="11"/>
      <color rgb="FFFF0000"/>
      <name val="Arial"/>
      <family val="2"/>
    </font>
    <font>
      <sz val="12"/>
      <color rgb="FFFF0000"/>
      <name val="Arial"/>
      <family val="2"/>
    </font>
    <font>
      <sz val="11"/>
      <color rgb="FFFF0000"/>
      <name val="宋体"/>
      <family val="3"/>
      <charset val="134"/>
    </font>
    <font>
      <sz val="9"/>
      <color rgb="FFFF0000"/>
      <name val="Segoe UI"/>
      <family val="2"/>
    </font>
    <font>
      <sz val="11"/>
      <color rgb="FFFF0000"/>
      <name val="Segoe UI"/>
      <family val="2"/>
    </font>
    <font>
      <vertAlign val="subscript"/>
      <sz val="11"/>
      <color rgb="FFFF0000"/>
      <name val="Segoe UI"/>
      <family val="2"/>
    </font>
    <font>
      <b/>
      <sz val="11"/>
      <color rgb="FFFF0000"/>
      <name val="Segoe UI"/>
      <family val="2"/>
    </font>
    <font>
      <sz val="11"/>
      <color rgb="FFFF0000"/>
      <name val="Calibri"/>
      <family val="2"/>
      <charset val="134"/>
      <scheme val="minor"/>
    </font>
    <font>
      <b/>
      <sz val="11"/>
      <color rgb="FFFF0000"/>
      <name val="Arial"/>
      <family val="2"/>
    </font>
    <font>
      <b/>
      <sz val="9"/>
      <color rgb="FFFF0000"/>
      <name val="Segoe UI"/>
      <family val="2"/>
    </font>
    <font>
      <sz val="10"/>
      <name val="Arial"/>
      <family val="2"/>
    </font>
    <font>
      <u/>
      <sz val="11"/>
      <name val="Calibri"/>
      <family val="2"/>
      <charset val="134"/>
      <scheme val="minor"/>
    </font>
    <font>
      <sz val="10"/>
      <color rgb="FF000000"/>
      <name val="Noto Sans JP"/>
      <family val="2"/>
      <charset val="134"/>
    </font>
    <font>
      <sz val="12"/>
      <color rgb="FF000000"/>
      <name val="Noto Sans JP"/>
      <family val="2"/>
      <charset val="134"/>
    </font>
    <font>
      <sz val="11"/>
      <color rgb="FF000000"/>
      <name val="Noto Sans JP"/>
      <family val="2"/>
      <charset val="134"/>
    </font>
    <font>
      <sz val="11"/>
      <color rgb="FF0621C5"/>
      <name val="Noto Sans SC"/>
      <family val="2"/>
    </font>
    <font>
      <sz val="11"/>
      <color rgb="FF54545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</cellStyleXfs>
  <cellXfs count="189">
    <xf numFmtId="0" fontId="0" fillId="0" borderId="0" xfId="0">
      <alignment vertical="center"/>
    </xf>
    <xf numFmtId="0" fontId="6" fillId="0" borderId="0" xfId="0" applyFont="1" applyAlignment="1"/>
    <xf numFmtId="0" fontId="5" fillId="0" borderId="0" xfId="0" applyFont="1" applyAlignme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left" vertical="center"/>
    </xf>
    <xf numFmtId="165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wrapText="1"/>
    </xf>
    <xf numFmtId="0" fontId="7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2" fontId="7" fillId="0" borderId="1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0" xfId="0" applyFont="1" applyAlignment="1">
      <alignment horizontal="left" vertical="center" wrapText="1"/>
    </xf>
    <xf numFmtId="2" fontId="7" fillId="0" borderId="2" xfId="0" applyNumberFormat="1" applyFont="1" applyBorder="1" applyAlignment="1">
      <alignment horizontal="left"/>
    </xf>
    <xf numFmtId="164" fontId="7" fillId="0" borderId="0" xfId="0" applyNumberFormat="1" applyFont="1" applyAlignment="1">
      <alignment horizontal="left"/>
    </xf>
    <xf numFmtId="3" fontId="7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7" fillId="0" borderId="0" xfId="0" applyFont="1" applyAlignment="1"/>
    <xf numFmtId="0" fontId="7" fillId="0" borderId="0" xfId="0" applyFont="1">
      <alignment vertical="center"/>
    </xf>
    <xf numFmtId="3" fontId="7" fillId="0" borderId="0" xfId="2" applyNumberFormat="1" applyFont="1"/>
    <xf numFmtId="3" fontId="7" fillId="0" borderId="1" xfId="2" applyNumberFormat="1" applyFont="1" applyBorder="1"/>
    <xf numFmtId="0" fontId="7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/>
    <xf numFmtId="2" fontId="13" fillId="0" borderId="0" xfId="0" applyNumberFormat="1" applyFont="1" applyAlignment="1"/>
    <xf numFmtId="0" fontId="14" fillId="0" borderId="0" xfId="0" applyFont="1">
      <alignment vertical="center"/>
    </xf>
    <xf numFmtId="0" fontId="16" fillId="0" borderId="1" xfId="0" applyFont="1" applyBorder="1" applyAlignment="1"/>
    <xf numFmtId="0" fontId="16" fillId="0" borderId="0" xfId="0" applyFont="1" applyAlignment="1"/>
    <xf numFmtId="0" fontId="14" fillId="0" borderId="0" xfId="0" applyFont="1" applyAlignment="1"/>
    <xf numFmtId="0" fontId="15" fillId="0" borderId="1" xfId="0" applyFont="1" applyBorder="1" applyAlignment="1"/>
    <xf numFmtId="0" fontId="14" fillId="0" borderId="1" xfId="0" applyFont="1" applyBorder="1" applyAlignment="1"/>
    <xf numFmtId="0" fontId="15" fillId="0" borderId="0" xfId="0" applyFont="1" applyAlignment="1">
      <alignment horizontal="left" vertical="center"/>
    </xf>
    <xf numFmtId="0" fontId="14" fillId="0" borderId="1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0" xfId="0" applyFont="1" applyAlignment="1">
      <alignment horizontal="left" vertical="center"/>
    </xf>
    <xf numFmtId="2" fontId="14" fillId="0" borderId="1" xfId="0" applyNumberFormat="1" applyFont="1" applyBorder="1" applyAlignment="1">
      <alignment horizontal="left"/>
    </xf>
    <xf numFmtId="2" fontId="14" fillId="0" borderId="0" xfId="0" applyNumberFormat="1" applyFont="1" applyAlignment="1">
      <alignment horizontal="left"/>
    </xf>
    <xf numFmtId="0" fontId="14" fillId="0" borderId="0" xfId="0" applyFont="1" applyAlignment="1">
      <alignment horizontal="left" wrapText="1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12" fillId="0" borderId="0" xfId="0" applyFont="1">
      <alignment vertical="center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2" fontId="17" fillId="0" borderId="0" xfId="0" applyNumberFormat="1" applyFont="1" applyAlignment="1">
      <alignment horizontal="left"/>
    </xf>
    <xf numFmtId="3" fontId="17" fillId="0" borderId="0" xfId="2" applyNumberFormat="1" applyFont="1"/>
    <xf numFmtId="0" fontId="17" fillId="0" borderId="0" xfId="0" applyFont="1" applyAlignment="1"/>
    <xf numFmtId="0" fontId="18" fillId="0" borderId="0" xfId="1" applyFont="1" applyAlignment="1"/>
    <xf numFmtId="0" fontId="14" fillId="0" borderId="2" xfId="0" applyFont="1" applyBorder="1">
      <alignment vertical="center"/>
    </xf>
    <xf numFmtId="0" fontId="14" fillId="0" borderId="2" xfId="0" applyFont="1" applyBorder="1" applyAlignment="1">
      <alignment horizontal="left" vertical="center"/>
    </xf>
    <xf numFmtId="3" fontId="1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0" fillId="0" borderId="0" xfId="0" applyAlignment="1"/>
    <xf numFmtId="2" fontId="0" fillId="0" borderId="0" xfId="0" applyNumberFormat="1" applyAlignment="1"/>
    <xf numFmtId="2" fontId="13" fillId="0" borderId="2" xfId="0" applyNumberFormat="1" applyFont="1" applyBorder="1" applyAlignment="1"/>
    <xf numFmtId="3" fontId="6" fillId="0" borderId="0" xfId="2" applyNumberFormat="1" applyFont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3" fontId="6" fillId="0" borderId="0" xfId="2" applyNumberFormat="1" applyFont="1" applyAlignment="1">
      <alignment horizontal="center" vertical="center"/>
    </xf>
    <xf numFmtId="3" fontId="6" fillId="0" borderId="2" xfId="2" applyNumberFormat="1" applyFont="1" applyBorder="1"/>
    <xf numFmtId="38" fontId="7" fillId="0" borderId="0" xfId="0" applyNumberFormat="1" applyFont="1" applyAlignment="1">
      <alignment horizontal="left"/>
    </xf>
    <xf numFmtId="38" fontId="7" fillId="0" borderId="1" xfId="0" applyNumberFormat="1" applyFont="1" applyBorder="1" applyAlignment="1">
      <alignment horizontal="left"/>
    </xf>
    <xf numFmtId="38" fontId="7" fillId="0" borderId="2" xfId="0" applyNumberFormat="1" applyFont="1" applyBorder="1" applyAlignment="1">
      <alignment horizontal="left"/>
    </xf>
    <xf numFmtId="38" fontId="4" fillId="0" borderId="0" xfId="0" applyNumberFormat="1" applyFont="1" applyAlignment="1">
      <alignment horizontal="left"/>
    </xf>
    <xf numFmtId="38" fontId="7" fillId="2" borderId="0" xfId="0" applyNumberFormat="1" applyFont="1" applyFill="1" applyAlignment="1">
      <alignment horizontal="left"/>
    </xf>
    <xf numFmtId="38" fontId="7" fillId="0" borderId="1" xfId="0" applyNumberFormat="1" applyFont="1" applyBorder="1" applyAlignment="1">
      <alignment horizontal="left" vertical="center"/>
    </xf>
    <xf numFmtId="38" fontId="7" fillId="0" borderId="0" xfId="0" applyNumberFormat="1" applyFont="1" applyAlignment="1">
      <alignment horizontal="left" vertical="center"/>
    </xf>
    <xf numFmtId="38" fontId="7" fillId="2" borderId="1" xfId="0" applyNumberFormat="1" applyFont="1" applyFill="1" applyBorder="1" applyAlignment="1">
      <alignment horizontal="left" vertical="center"/>
    </xf>
    <xf numFmtId="38" fontId="7" fillId="2" borderId="0" xfId="0" applyNumberFormat="1" applyFont="1" applyFill="1" applyAlignment="1">
      <alignment horizontal="left" vertical="center"/>
    </xf>
    <xf numFmtId="38" fontId="7" fillId="0" borderId="2" xfId="0" applyNumberFormat="1" applyFont="1" applyBorder="1" applyAlignment="1">
      <alignment horizontal="left" vertical="center"/>
    </xf>
    <xf numFmtId="38" fontId="17" fillId="0" borderId="0" xfId="0" applyNumberFormat="1" applyFont="1" applyAlignment="1">
      <alignment horizontal="left" vertical="center"/>
    </xf>
    <xf numFmtId="38" fontId="17" fillId="0" borderId="0" xfId="2" applyNumberFormat="1" applyFont="1" applyAlignment="1">
      <alignment horizontal="left"/>
    </xf>
    <xf numFmtId="38" fontId="17" fillId="2" borderId="0" xfId="2" applyNumberFormat="1" applyFont="1" applyFill="1" applyAlignment="1">
      <alignment horizontal="left"/>
    </xf>
    <xf numFmtId="38" fontId="7" fillId="0" borderId="0" xfId="2" applyNumberFormat="1" applyFont="1" applyAlignment="1">
      <alignment horizontal="left"/>
    </xf>
    <xf numFmtId="38" fontId="6" fillId="0" borderId="0" xfId="0" applyNumberFormat="1" applyFont="1" applyAlignment="1">
      <alignment horizontal="left"/>
    </xf>
    <xf numFmtId="38" fontId="5" fillId="0" borderId="0" xfId="0" applyNumberFormat="1" applyFont="1" applyAlignment="1">
      <alignment horizontal="left"/>
    </xf>
    <xf numFmtId="38" fontId="5" fillId="0" borderId="2" xfId="0" applyNumberFormat="1" applyFont="1" applyBorder="1" applyAlignment="1">
      <alignment horizontal="left"/>
    </xf>
    <xf numFmtId="38" fontId="0" fillId="0" borderId="0" xfId="0" applyNumberFormat="1" applyAlignment="1"/>
    <xf numFmtId="38" fontId="7" fillId="0" borderId="0" xfId="0" applyNumberFormat="1" applyFont="1" applyAlignment="1"/>
    <xf numFmtId="0" fontId="19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left" vertical="center"/>
    </xf>
    <xf numFmtId="2" fontId="7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left"/>
    </xf>
    <xf numFmtId="3" fontId="7" fillId="2" borderId="0" xfId="0" applyNumberFormat="1" applyFont="1" applyFill="1" applyAlignment="1">
      <alignment horizontal="left"/>
    </xf>
    <xf numFmtId="0" fontId="7" fillId="2" borderId="2" xfId="0" applyFont="1" applyFill="1" applyBorder="1" applyAlignment="1">
      <alignment horizontal="left"/>
    </xf>
    <xf numFmtId="38" fontId="5" fillId="2" borderId="2" xfId="0" applyNumberFormat="1" applyFont="1" applyFill="1" applyBorder="1" applyAlignment="1">
      <alignment horizontal="left" vertical="center"/>
    </xf>
    <xf numFmtId="2" fontId="7" fillId="2" borderId="2" xfId="0" applyNumberFormat="1" applyFont="1" applyFill="1" applyBorder="1" applyAlignment="1">
      <alignment horizontal="left"/>
    </xf>
    <xf numFmtId="0" fontId="7" fillId="2" borderId="0" xfId="0" applyFont="1" applyFill="1" applyAlignment="1"/>
    <xf numFmtId="3" fontId="17" fillId="2" borderId="0" xfId="2" applyNumberFormat="1" applyFont="1" applyFill="1"/>
    <xf numFmtId="0" fontId="12" fillId="2" borderId="0" xfId="0" applyFont="1" applyFill="1">
      <alignment vertical="center"/>
    </xf>
    <xf numFmtId="0" fontId="17" fillId="2" borderId="0" xfId="0" applyFont="1" applyFill="1" applyAlignment="1"/>
    <xf numFmtId="2" fontId="17" fillId="2" borderId="0" xfId="0" applyNumberFormat="1" applyFont="1" applyFill="1" applyAlignment="1">
      <alignment horizontal="left"/>
    </xf>
    <xf numFmtId="0" fontId="10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0" fillId="0" borderId="0" xfId="1" applyFont="1" applyFill="1" applyAlignment="1">
      <alignment vertical="center" wrapText="1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165" fontId="9" fillId="0" borderId="0" xfId="0" applyNumberFormat="1" applyFont="1" applyAlignment="1">
      <alignment horizontal="left"/>
    </xf>
    <xf numFmtId="0" fontId="20" fillId="0" borderId="0" xfId="1" applyFont="1" applyFill="1" applyBorder="1" applyAlignment="1">
      <alignment horizontal="left"/>
    </xf>
    <xf numFmtId="0" fontId="21" fillId="0" borderId="0" xfId="1" applyFont="1" applyFill="1" applyBorder="1" applyAlignment="1">
      <alignment horizontal="left" vertical="center"/>
    </xf>
    <xf numFmtId="0" fontId="20" fillId="0" borderId="0" xfId="1" applyFont="1" applyFill="1" applyBorder="1" applyAlignment="1">
      <alignment horizontal="left" vertical="center"/>
    </xf>
    <xf numFmtId="0" fontId="21" fillId="0" borderId="0" xfId="1" applyFont="1" applyAlignment="1">
      <alignment horizontal="left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5" fillId="0" borderId="0" xfId="1" applyFont="1" applyFill="1" applyAlignment="1">
      <alignment horizontal="left"/>
    </xf>
    <xf numFmtId="0" fontId="26" fillId="0" borderId="1" xfId="1" applyFont="1" applyFill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7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0" fontId="26" fillId="0" borderId="0" xfId="1" applyFont="1" applyFill="1" applyBorder="1" applyAlignment="1">
      <alignment horizontal="left"/>
    </xf>
    <xf numFmtId="17" fontId="23" fillId="0" borderId="1" xfId="0" applyNumberFormat="1" applyFont="1" applyBorder="1" applyAlignment="1">
      <alignment horizontal="left"/>
    </xf>
    <xf numFmtId="0" fontId="23" fillId="0" borderId="1" xfId="0" applyFont="1" applyBorder="1" applyAlignment="1">
      <alignment horizontal="center"/>
    </xf>
    <xf numFmtId="0" fontId="25" fillId="0" borderId="0" xfId="1" applyFont="1" applyFill="1" applyBorder="1" applyAlignment="1">
      <alignment horizontal="left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/>
    </xf>
    <xf numFmtId="0" fontId="25" fillId="0" borderId="0" xfId="1" applyFont="1" applyFill="1" applyBorder="1" applyAlignment="1">
      <alignment horizontal="left" vertical="center"/>
    </xf>
    <xf numFmtId="0" fontId="29" fillId="0" borderId="0" xfId="0" applyFont="1">
      <alignment vertical="center"/>
    </xf>
    <xf numFmtId="0" fontId="23" fillId="2" borderId="0" xfId="0" applyFont="1" applyFill="1" applyAlignment="1">
      <alignment horizontal="left" vertical="center"/>
    </xf>
    <xf numFmtId="0" fontId="30" fillId="0" borderId="0" xfId="0" applyFont="1">
      <alignment vertical="center"/>
    </xf>
    <xf numFmtId="0" fontId="32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6" fillId="0" borderId="0" xfId="1" applyFont="1" applyFill="1" applyBorder="1" applyAlignment="1">
      <alignment horizontal="left" vertical="center"/>
    </xf>
    <xf numFmtId="8" fontId="23" fillId="0" borderId="0" xfId="0" applyNumberFormat="1" applyFont="1" applyAlignment="1">
      <alignment horizontal="left" vertical="center"/>
    </xf>
    <xf numFmtId="0" fontId="24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25" fillId="0" borderId="1" xfId="1" applyFont="1" applyFill="1" applyBorder="1" applyAlignment="1">
      <alignment horizontal="left"/>
    </xf>
    <xf numFmtId="0" fontId="23" fillId="0" borderId="0" xfId="0" applyFont="1">
      <alignment vertical="center"/>
    </xf>
    <xf numFmtId="17" fontId="23" fillId="0" borderId="0" xfId="0" applyNumberFormat="1" applyFont="1" applyAlignment="1">
      <alignment horizontal="left"/>
    </xf>
    <xf numFmtId="16" fontId="23" fillId="0" borderId="0" xfId="0" applyNumberFormat="1" applyFont="1" applyAlignment="1">
      <alignment horizontal="left"/>
    </xf>
    <xf numFmtId="0" fontId="35" fillId="0" borderId="0" xfId="0" applyFont="1">
      <alignment vertical="center"/>
    </xf>
    <xf numFmtId="0" fontId="23" fillId="0" borderId="0" xfId="1" applyFont="1" applyFill="1" applyAlignment="1">
      <alignment vertical="center" wrapText="1"/>
    </xf>
    <xf numFmtId="165" fontId="9" fillId="0" borderId="0" xfId="0" applyNumberFormat="1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34" fillId="0" borderId="0" xfId="0" applyFont="1" applyAlignment="1">
      <alignment horizontal="left"/>
    </xf>
    <xf numFmtId="14" fontId="23" fillId="0" borderId="0" xfId="0" applyNumberFormat="1" applyFont="1" applyAlignment="1">
      <alignment horizontal="left" vertical="center"/>
    </xf>
    <xf numFmtId="0" fontId="36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37" fillId="0" borderId="0" xfId="1" applyFont="1" applyFill="1" applyAlignment="1">
      <alignment horizontal="left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left" vertical="center" wrapText="1" indent="1"/>
    </xf>
    <xf numFmtId="0" fontId="25" fillId="0" borderId="0" xfId="1" applyFont="1" applyFill="1" applyAlignment="1">
      <alignment horizontal="left" vertical="center"/>
    </xf>
    <xf numFmtId="0" fontId="35" fillId="0" borderId="0" xfId="0" applyFont="1" applyAlignment="1">
      <alignment vertical="center" wrapText="1"/>
    </xf>
    <xf numFmtId="0" fontId="23" fillId="2" borderId="0" xfId="0" applyFont="1" applyFill="1" applyAlignment="1">
      <alignment horizontal="left"/>
    </xf>
    <xf numFmtId="0" fontId="33" fillId="0" borderId="0" xfId="1" applyFont="1">
      <alignment vertical="center"/>
    </xf>
    <xf numFmtId="0" fontId="23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left" wrapText="1"/>
    </xf>
    <xf numFmtId="0" fontId="38" fillId="0" borderId="0" xfId="0" applyFont="1" applyAlignment="1">
      <alignment vertical="center" wrapText="1"/>
    </xf>
    <xf numFmtId="0" fontId="38" fillId="0" borderId="0" xfId="0" applyFont="1">
      <alignment vertical="center"/>
    </xf>
    <xf numFmtId="0" fontId="39" fillId="0" borderId="0" xfId="0" applyFont="1" applyAlignment="1">
      <alignment horizontal="left" vertical="center" wrapText="1"/>
    </xf>
    <xf numFmtId="0" fontId="40" fillId="0" borderId="0" xfId="0" applyFont="1" applyAlignment="1">
      <alignment horizontal="left" vertical="center" wrapText="1" indent="1"/>
    </xf>
    <xf numFmtId="14" fontId="5" fillId="0" borderId="0" xfId="0" applyNumberFormat="1" applyFont="1" applyAlignment="1">
      <alignment horizontal="left" vertical="center"/>
    </xf>
    <xf numFmtId="0" fontId="41" fillId="0" borderId="0" xfId="0" applyFont="1">
      <alignment vertical="center"/>
    </xf>
    <xf numFmtId="0" fontId="23" fillId="0" borderId="2" xfId="0" applyFont="1" applyBorder="1" applyAlignment="1">
      <alignment horizontal="left"/>
    </xf>
    <xf numFmtId="0" fontId="23" fillId="0" borderId="2" xfId="0" applyFont="1" applyBorder="1" applyAlignment="1">
      <alignment horizontal="left" vertical="center"/>
    </xf>
    <xf numFmtId="0" fontId="23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3" fillId="3" borderId="2" xfId="0" applyFont="1" applyFill="1" applyBorder="1" applyAlignment="1">
      <alignment horizontal="left"/>
    </xf>
    <xf numFmtId="0" fontId="23" fillId="3" borderId="2" xfId="0" applyFont="1" applyFill="1" applyBorder="1" applyAlignment="1">
      <alignment horizontal="left" vertical="center"/>
    </xf>
    <xf numFmtId="0" fontId="23" fillId="3" borderId="2" xfId="0" applyFont="1" applyFill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0" fontId="25" fillId="3" borderId="2" xfId="1" applyFont="1" applyFill="1" applyBorder="1" applyAlignment="1">
      <alignment horizontal="left"/>
    </xf>
    <xf numFmtId="0" fontId="42" fillId="0" borderId="0" xfId="0" applyFont="1">
      <alignment vertical="center"/>
    </xf>
    <xf numFmtId="0" fontId="2" fillId="0" borderId="0" xfId="1">
      <alignment vertical="center"/>
    </xf>
  </cellXfs>
  <cellStyles count="3">
    <cellStyle name="Hyperlink" xfId="1" builtinId="8"/>
    <cellStyle name="Normal" xfId="0" builtinId="0"/>
    <cellStyle name="Normal_Sheet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igmaaldrich.com/US/en/search/dithiothreitol?focus=products&amp;page=1&amp;perpage=30&amp;sort=relevance&amp;term=Dithiothreitol&amp;type=product" TargetMode="External"/><Relationship Id="rId13" Type="http://schemas.openxmlformats.org/officeDocument/2006/relationships/hyperlink" Target="https://www.sigmaaldrich.com/US/en/product/aldrich/415324" TargetMode="External"/><Relationship Id="rId18" Type="http://schemas.openxmlformats.org/officeDocument/2006/relationships/hyperlink" Target="https://www.sigmaaldrich.com/US/en/product/sial/t25402" TargetMode="External"/><Relationship Id="rId26" Type="http://schemas.openxmlformats.org/officeDocument/2006/relationships/hyperlink" Target="https://www.sigmaaldrich.com/US/en/search/144-55-8?focus=products&amp;page=1&amp;perpage=30&amp;sort=relevance&amp;term=144-55-8&amp;type=cas_number" TargetMode="External"/><Relationship Id="rId3" Type="http://schemas.openxmlformats.org/officeDocument/2006/relationships/hyperlink" Target="https://www.sigmaaldrich.com/US/en/search/ammonium-peroxydisulfate?focus=products&amp;page=1&amp;perpage=30&amp;sort=relevance&amp;term=Ammonium%20peroxydisulfate&amp;type=product" TargetMode="External"/><Relationship Id="rId21" Type="http://schemas.openxmlformats.org/officeDocument/2006/relationships/hyperlink" Target="https://www.sigmaaldrich.com/US/en/product/sigma/g1890" TargetMode="External"/><Relationship Id="rId7" Type="http://schemas.openxmlformats.org/officeDocument/2006/relationships/hyperlink" Target="https://www.sigmaaldrich.com/US/en/search/tetramethylguanidine?focus=products&amp;page=1&amp;perpage=30&amp;sort=relevance&amp;term=tetramethylguanidine&amp;type=product" TargetMode="External"/><Relationship Id="rId12" Type="http://schemas.openxmlformats.org/officeDocument/2006/relationships/hyperlink" Target="https://www.sigmaaldrich.com/US/en/search/ketoglutaric-acid?focus=products&amp;page=1&amp;perpage=30&amp;sort=relevance&amp;term=Ketoglutaric%20acid&amp;type=product" TargetMode="External"/><Relationship Id="rId17" Type="http://schemas.openxmlformats.org/officeDocument/2006/relationships/hyperlink" Target="https://www.sigmaaldrich.com/US/en/product/aldrich/511447?srsltid=AfmBOoqX-rQpSOIpAb8x82bc6TWXPEjLuYkgoavzrZ6cBBMCwvGfeLAJ" TargetMode="External"/><Relationship Id="rId25" Type="http://schemas.openxmlformats.org/officeDocument/2006/relationships/hyperlink" Target="https://www.sigmaaldrich.com/US/en/search/dithiothreitol?focus=products&amp;page=1&amp;perpage=30&amp;sort=relevance&amp;term=Dithiothreitol&amp;type=product" TargetMode="External"/><Relationship Id="rId2" Type="http://schemas.openxmlformats.org/officeDocument/2006/relationships/hyperlink" Target="https://www.sigmaaldrich.com/US/en/search/sodium-alginate?focus=products&amp;page=1&amp;perpage=30&amp;sort=relevance&amp;term=Sodium%20alginate&amp;type=product" TargetMode="External"/><Relationship Id="rId16" Type="http://schemas.openxmlformats.org/officeDocument/2006/relationships/hyperlink" Target="https://www.sigmaaldrich.com/US/en/product/aldrich/406651" TargetMode="External"/><Relationship Id="rId20" Type="http://schemas.openxmlformats.org/officeDocument/2006/relationships/hyperlink" Target="https://www.sigmaaldrich.com/US/en/product/aldrich/341584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www.sigmaaldrich.com/US/en/search/n-isopropylacrylamide?focus=products&amp;page=1&amp;perpage=30&amp;sort=relevance&amp;term=N-isopropylacrylamide&amp;type=product" TargetMode="External"/><Relationship Id="rId6" Type="http://schemas.openxmlformats.org/officeDocument/2006/relationships/hyperlink" Target="https://www.westlakeepoxy.com/en-US/product/EPON-Resin-828" TargetMode="External"/><Relationship Id="rId11" Type="http://schemas.openxmlformats.org/officeDocument/2006/relationships/hyperlink" Target="https://www.sigmaaldrich.com/US/en/product/aldrich/276685" TargetMode="External"/><Relationship Id="rId24" Type="http://schemas.openxmlformats.org/officeDocument/2006/relationships/hyperlink" Target="https://www.sigmaaldrich.com/US/en/product/mm/808154" TargetMode="External"/><Relationship Id="rId5" Type="http://schemas.openxmlformats.org/officeDocument/2006/relationships/hyperlink" Target="https://www.sigmaaldrich.com/US/en/search/2%2C-2'-azobis(2-methylpropionitrile)?focus=products&amp;page=1&amp;perpage=30&amp;sort=relevance&amp;term=2%2C%202%27-Azobis%282-methylpropionitrile%29&amp;type=product" TargetMode="External"/><Relationship Id="rId15" Type="http://schemas.openxmlformats.org/officeDocument/2006/relationships/hyperlink" Target="https://www.byk.com/en/products/additive-guide/laponite-rd" TargetMode="External"/><Relationship Id="rId23" Type="http://schemas.openxmlformats.org/officeDocument/2006/relationships/hyperlink" Target="https://www.sigmaaldrich.com/US/en/product/aldrich/189464" TargetMode="External"/><Relationship Id="rId28" Type="http://schemas.openxmlformats.org/officeDocument/2006/relationships/hyperlink" Target="https://www.fishersci.com/shop/products/ethylenediaminetetraacetic-acid-disodium-salt-dihydrate-reagent-fisher-chemical/O2793500" TargetMode="External"/><Relationship Id="rId10" Type="http://schemas.openxmlformats.org/officeDocument/2006/relationships/hyperlink" Target="https://www.sigmaaldrich.com/US/en/product/sigma/s5505" TargetMode="External"/><Relationship Id="rId19" Type="http://schemas.openxmlformats.org/officeDocument/2006/relationships/hyperlink" Target="https://www.sigmaaldrich.com/US/en/product/aldrich/227463" TargetMode="External"/><Relationship Id="rId4" Type="http://schemas.openxmlformats.org/officeDocument/2006/relationships/hyperlink" Target="https://www.sigmaaldrich.com/US/en/search/ammonium-peroxydisulfate?focus=products&amp;page=1&amp;perpage=30&amp;sort=relevance&amp;term=Ammonium%20peroxydisulfate&amp;type=product" TargetMode="External"/><Relationship Id="rId9" Type="http://schemas.openxmlformats.org/officeDocument/2006/relationships/hyperlink" Target="https://www.sigmaaldrich.com/US/en/product/sigma/a1296" TargetMode="External"/><Relationship Id="rId14" Type="http://schemas.openxmlformats.org/officeDocument/2006/relationships/hyperlink" Target="https://www.sigmaaldrich.com/US/en/search/1-dodecanethiol?focus=products&amp;page=1&amp;perpage=30&amp;sort=relevance&amp;term=1-dodecanethiol&amp;type=product" TargetMode="External"/><Relationship Id="rId22" Type="http://schemas.openxmlformats.org/officeDocument/2006/relationships/hyperlink" Target="https://www.sigmaaldrich.com/US/en/product/aldrich/d76609" TargetMode="External"/><Relationship Id="rId27" Type="http://schemas.openxmlformats.org/officeDocument/2006/relationships/hyperlink" Target="https://www.fishersci.com/shop/products/citric-acid-99-thermo-scientific/AAA103953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7"/>
  <sheetViews>
    <sheetView tabSelected="1" zoomScaleNormal="100" workbookViewId="0">
      <pane ySplit="2" topLeftCell="A31" activePane="bottomLeft" state="frozen"/>
      <selection activeCell="C1" sqref="C1"/>
      <selection pane="bottomLeft" activeCell="H39" sqref="H39"/>
    </sheetView>
  </sheetViews>
  <sheetFormatPr defaultColWidth="8.46484375" defaultRowHeight="13.5"/>
  <cols>
    <col min="1" max="1" width="34.46484375" style="58" customWidth="1"/>
    <col min="2" max="3" width="19.46484375" style="58" customWidth="1"/>
    <col min="4" max="4" width="66.46484375" style="58" customWidth="1"/>
    <col min="5" max="7" width="17.46484375" style="58" customWidth="1"/>
    <col min="8" max="8" width="13.46484375" style="105" customWidth="1"/>
    <col min="9" max="10" width="8.46484375" style="58"/>
    <col min="11" max="11" width="15.46484375" style="105" customWidth="1"/>
    <col min="12" max="12" width="7.46484375" style="58" customWidth="1"/>
    <col min="13" max="13" width="17.46484375" style="58" customWidth="1"/>
    <col min="14" max="16384" width="8.46484375" style="58"/>
  </cols>
  <sheetData>
    <row r="1" spans="1:23" ht="13.9">
      <c r="I1" s="119"/>
      <c r="J1" s="119" t="s">
        <v>0</v>
      </c>
      <c r="K1" s="153"/>
      <c r="L1" s="119"/>
      <c r="M1" s="119"/>
    </row>
    <row r="2" spans="1:23" ht="13.9">
      <c r="A2" s="106" t="s">
        <v>1</v>
      </c>
      <c r="B2" s="107" t="s">
        <v>2</v>
      </c>
      <c r="C2" s="107" t="s">
        <v>3</v>
      </c>
      <c r="D2" s="106" t="s">
        <v>4</v>
      </c>
      <c r="E2" s="58" t="s">
        <v>5</v>
      </c>
      <c r="F2" s="58" t="s">
        <v>6</v>
      </c>
      <c r="G2" s="58" t="s">
        <v>7</v>
      </c>
      <c r="H2" s="105" t="s">
        <v>8</v>
      </c>
      <c r="K2" s="105" t="s">
        <v>9</v>
      </c>
      <c r="M2" s="58" t="s">
        <v>10</v>
      </c>
      <c r="N2" s="58" t="s">
        <v>11</v>
      </c>
    </row>
    <row r="3" spans="1:23" s="124" customFormat="1" ht="15.75" customHeight="1">
      <c r="A3" s="128" t="s">
        <v>12</v>
      </c>
      <c r="B3" s="124">
        <v>1</v>
      </c>
      <c r="D3" s="124" t="s">
        <v>13</v>
      </c>
      <c r="E3" s="129" t="s">
        <v>14</v>
      </c>
      <c r="F3" s="129"/>
      <c r="H3" s="130" t="s">
        <v>15</v>
      </c>
      <c r="I3" s="124" t="s">
        <v>16</v>
      </c>
      <c r="J3" s="124" t="s">
        <v>17</v>
      </c>
      <c r="K3" s="136"/>
      <c r="N3" s="131" t="s">
        <v>18</v>
      </c>
    </row>
    <row r="4" spans="1:23" s="27" customFormat="1">
      <c r="D4" s="27" t="s">
        <v>19</v>
      </c>
      <c r="E4" s="27" t="s">
        <v>20</v>
      </c>
      <c r="H4" s="108"/>
      <c r="J4" s="27" t="s">
        <v>17</v>
      </c>
      <c r="K4" s="108"/>
    </row>
    <row r="5" spans="1:23" s="124" customFormat="1" ht="15.75" customHeight="1">
      <c r="B5" s="124">
        <v>1</v>
      </c>
      <c r="D5" s="124" t="s">
        <v>21</v>
      </c>
      <c r="E5" s="124" t="s">
        <v>20</v>
      </c>
      <c r="H5" s="125" t="s">
        <v>22</v>
      </c>
      <c r="J5" s="124" t="s">
        <v>17</v>
      </c>
      <c r="K5" s="136"/>
      <c r="N5" s="126" t="s">
        <v>23</v>
      </c>
    </row>
    <row r="6" spans="1:23" s="4" customFormat="1" ht="15.75" customHeight="1">
      <c r="D6" s="124" t="s">
        <v>24</v>
      </c>
      <c r="E6" s="4" t="s">
        <v>20</v>
      </c>
      <c r="H6" s="160" t="s">
        <v>25</v>
      </c>
      <c r="I6" s="4" t="s">
        <v>26</v>
      </c>
      <c r="J6" s="4" t="s">
        <v>17</v>
      </c>
      <c r="K6" s="161"/>
      <c r="N6" s="162" t="s">
        <v>27</v>
      </c>
    </row>
    <row r="7" spans="1:23" s="4" customFormat="1" ht="15.75" customHeight="1">
      <c r="D7" s="4" t="s">
        <v>28</v>
      </c>
      <c r="E7" s="4" t="s">
        <v>20</v>
      </c>
      <c r="F7" s="4">
        <v>1</v>
      </c>
      <c r="G7" s="8" t="s">
        <v>29</v>
      </c>
      <c r="H7" s="160" t="s">
        <v>30</v>
      </c>
      <c r="I7" s="4" t="s">
        <v>31</v>
      </c>
      <c r="J7" s="4" t="s">
        <v>17</v>
      </c>
      <c r="K7" s="161"/>
      <c r="N7" s="162"/>
    </row>
    <row r="8" spans="1:23" s="4" customFormat="1" ht="15.75" customHeight="1">
      <c r="B8" s="4">
        <v>1</v>
      </c>
      <c r="D8" s="4" t="s">
        <v>32</v>
      </c>
      <c r="E8" s="4" t="s">
        <v>33</v>
      </c>
      <c r="G8" s="172" t="s">
        <v>34</v>
      </c>
      <c r="H8" s="172" t="s">
        <v>35</v>
      </c>
      <c r="K8" s="161"/>
      <c r="N8" s="162"/>
    </row>
    <row r="9" spans="1:23" s="124" customFormat="1" ht="15.75" customHeight="1">
      <c r="B9" s="124">
        <v>1</v>
      </c>
      <c r="D9" s="124" t="s">
        <v>36</v>
      </c>
      <c r="E9" s="124" t="s">
        <v>37</v>
      </c>
      <c r="H9" s="125" t="s">
        <v>38</v>
      </c>
      <c r="I9" s="124" t="s">
        <v>39</v>
      </c>
      <c r="J9" s="124" t="s">
        <v>17</v>
      </c>
      <c r="K9" s="136"/>
      <c r="N9" s="127" t="s">
        <v>40</v>
      </c>
      <c r="O9" s="128"/>
      <c r="P9" s="128"/>
      <c r="Q9" s="128"/>
      <c r="R9" s="128"/>
      <c r="S9" s="128"/>
      <c r="T9" s="128"/>
    </row>
    <row r="10" spans="1:23" s="124" customFormat="1" ht="15.75" customHeight="1">
      <c r="B10" s="124" t="s">
        <v>656</v>
      </c>
      <c r="D10" s="177" t="s">
        <v>657</v>
      </c>
      <c r="E10" s="124" t="s">
        <v>658</v>
      </c>
      <c r="G10" s="124" t="s">
        <v>659</v>
      </c>
      <c r="H10" s="125" t="s">
        <v>660</v>
      </c>
      <c r="I10" s="124" t="s">
        <v>649</v>
      </c>
      <c r="K10" s="136"/>
      <c r="N10" s="131"/>
    </row>
    <row r="11" spans="1:23" s="128" customFormat="1" ht="14.65">
      <c r="A11" s="128" t="s">
        <v>41</v>
      </c>
      <c r="B11" s="128">
        <v>2</v>
      </c>
      <c r="C11" s="132">
        <v>45566</v>
      </c>
      <c r="D11" s="128" t="s">
        <v>42</v>
      </c>
      <c r="E11" s="128" t="s">
        <v>20</v>
      </c>
      <c r="G11" s="128" t="s">
        <v>43</v>
      </c>
      <c r="H11" s="133" t="s">
        <v>44</v>
      </c>
      <c r="K11" s="133"/>
      <c r="N11" s="134" t="s">
        <v>45</v>
      </c>
      <c r="O11" s="135"/>
      <c r="P11" s="135"/>
      <c r="Q11" s="135"/>
      <c r="R11" s="135"/>
      <c r="S11" s="135"/>
      <c r="T11" s="135"/>
    </row>
    <row r="12" spans="1:23" s="135" customFormat="1" ht="14.25">
      <c r="B12" s="135">
        <v>1</v>
      </c>
      <c r="C12" s="135" t="s">
        <v>46</v>
      </c>
      <c r="D12" s="124" t="s">
        <v>47</v>
      </c>
      <c r="E12" s="135" t="s">
        <v>48</v>
      </c>
      <c r="H12" s="136" t="s">
        <v>49</v>
      </c>
      <c r="K12" s="142"/>
      <c r="N12" s="137" t="s">
        <v>50</v>
      </c>
    </row>
    <row r="13" spans="1:23" s="139" customFormat="1" ht="13.45" customHeight="1">
      <c r="A13" s="135"/>
      <c r="B13" s="135">
        <v>1</v>
      </c>
      <c r="C13" s="135" t="s">
        <v>46</v>
      </c>
      <c r="D13" s="124" t="s">
        <v>51</v>
      </c>
      <c r="E13" s="124" t="s">
        <v>20</v>
      </c>
      <c r="F13" s="124"/>
      <c r="G13" s="135" t="s">
        <v>52</v>
      </c>
      <c r="H13" s="136" t="s">
        <v>53</v>
      </c>
      <c r="I13" s="135" t="s">
        <v>54</v>
      </c>
      <c r="J13" s="135"/>
      <c r="K13" s="154">
        <v>488.66</v>
      </c>
      <c r="L13" s="135"/>
      <c r="M13" s="135">
        <v>73.8</v>
      </c>
      <c r="N13" s="135"/>
      <c r="O13" s="135"/>
      <c r="P13" s="135"/>
      <c r="Q13" s="135"/>
      <c r="R13" s="135"/>
      <c r="S13" s="135"/>
      <c r="T13" s="135"/>
      <c r="U13" s="135"/>
      <c r="V13" s="135"/>
      <c r="W13" s="135"/>
    </row>
    <row r="14" spans="1:23" s="139" customFormat="1" ht="13.45" customHeight="1">
      <c r="A14" s="135"/>
      <c r="B14" s="135">
        <v>1</v>
      </c>
      <c r="C14" s="135" t="s">
        <v>46</v>
      </c>
      <c r="D14" s="140" t="s">
        <v>55</v>
      </c>
      <c r="E14" s="124" t="s">
        <v>20</v>
      </c>
      <c r="F14" s="124"/>
      <c r="G14" s="135" t="s">
        <v>56</v>
      </c>
      <c r="H14" s="141" t="s">
        <v>57</v>
      </c>
      <c r="I14" s="135" t="s">
        <v>58</v>
      </c>
      <c r="J14" s="135"/>
      <c r="K14" s="155">
        <v>84.14</v>
      </c>
      <c r="L14" s="135"/>
      <c r="M14" s="135">
        <v>19.149999999999999</v>
      </c>
      <c r="N14" s="135"/>
      <c r="O14" s="135"/>
      <c r="P14" s="135"/>
      <c r="Q14" s="135"/>
      <c r="R14" s="135"/>
      <c r="S14" s="135"/>
      <c r="T14" s="135"/>
      <c r="U14" s="135"/>
      <c r="V14" s="135"/>
      <c r="W14" s="135"/>
    </row>
    <row r="15" spans="1:23" s="135" customFormat="1" ht="16.5">
      <c r="B15" s="135">
        <v>1</v>
      </c>
      <c r="C15" s="135" t="s">
        <v>46</v>
      </c>
      <c r="D15" s="124" t="s">
        <v>59</v>
      </c>
      <c r="E15" s="124" t="s">
        <v>20</v>
      </c>
      <c r="F15" s="124"/>
      <c r="G15" s="124" t="s">
        <v>60</v>
      </c>
      <c r="H15" s="142" t="s">
        <v>61</v>
      </c>
      <c r="I15" s="135" t="s">
        <v>62</v>
      </c>
      <c r="K15" s="156"/>
      <c r="M15" s="135">
        <v>78.8</v>
      </c>
      <c r="N15" s="143" t="s">
        <v>63</v>
      </c>
    </row>
    <row r="16" spans="1:23" s="135" customFormat="1" ht="14.25">
      <c r="B16" s="135">
        <v>1</v>
      </c>
      <c r="C16" s="135" t="s">
        <v>46</v>
      </c>
      <c r="D16" s="124" t="s">
        <v>64</v>
      </c>
      <c r="E16" s="124" t="s">
        <v>20</v>
      </c>
      <c r="F16" s="124"/>
      <c r="G16" s="124" t="s">
        <v>65</v>
      </c>
      <c r="H16" s="142" t="s">
        <v>66</v>
      </c>
      <c r="I16" s="135" t="s">
        <v>26</v>
      </c>
      <c r="K16" s="142"/>
      <c r="M16" s="144">
        <v>258.10000000000002</v>
      </c>
      <c r="N16" s="137" t="s">
        <v>67</v>
      </c>
    </row>
    <row r="17" spans="2:21" s="135" customFormat="1">
      <c r="B17" s="135">
        <v>1</v>
      </c>
      <c r="D17" s="124" t="s">
        <v>68</v>
      </c>
      <c r="E17" s="124" t="s">
        <v>20</v>
      </c>
      <c r="F17" s="124"/>
      <c r="G17" s="124" t="s">
        <v>69</v>
      </c>
      <c r="H17" s="142" t="s">
        <v>70</v>
      </c>
      <c r="I17" s="135" t="s">
        <v>71</v>
      </c>
      <c r="K17" s="142"/>
      <c r="N17" s="143" t="s">
        <v>72</v>
      </c>
    </row>
    <row r="18" spans="2:21" s="135" customFormat="1" ht="14.25">
      <c r="B18" s="135">
        <v>1</v>
      </c>
      <c r="D18" s="124" t="s">
        <v>73</v>
      </c>
      <c r="E18" s="124" t="s">
        <v>20</v>
      </c>
      <c r="F18" s="124"/>
      <c r="G18" s="124" t="s">
        <v>74</v>
      </c>
      <c r="H18" s="142" t="s">
        <v>75</v>
      </c>
      <c r="I18" s="135" t="s">
        <v>62</v>
      </c>
      <c r="K18" s="142"/>
      <c r="N18" s="137" t="s">
        <v>76</v>
      </c>
    </row>
    <row r="19" spans="2:21" s="135" customFormat="1" ht="14.25">
      <c r="B19" s="135">
        <v>1</v>
      </c>
      <c r="D19" s="124" t="s">
        <v>77</v>
      </c>
      <c r="E19" s="124" t="s">
        <v>20</v>
      </c>
      <c r="F19" s="124"/>
      <c r="G19" s="124" t="s">
        <v>78</v>
      </c>
      <c r="H19" s="142" t="s">
        <v>79</v>
      </c>
      <c r="I19" s="135" t="s">
        <v>80</v>
      </c>
      <c r="K19" s="142"/>
      <c r="N19" s="137" t="s">
        <v>81</v>
      </c>
    </row>
    <row r="20" spans="2:21">
      <c r="B20" s="135">
        <v>1</v>
      </c>
      <c r="D20" s="124" t="s">
        <v>82</v>
      </c>
      <c r="E20" s="124" t="s">
        <v>20</v>
      </c>
      <c r="F20" s="124"/>
      <c r="G20" s="124" t="s">
        <v>83</v>
      </c>
      <c r="H20" s="125" t="s">
        <v>84</v>
      </c>
      <c r="I20" s="124"/>
      <c r="N20" s="122"/>
    </row>
    <row r="21" spans="2:21" s="124" customFormat="1">
      <c r="B21" s="135">
        <v>1</v>
      </c>
      <c r="D21" s="124" t="s">
        <v>85</v>
      </c>
      <c r="E21" s="124" t="s">
        <v>20</v>
      </c>
      <c r="G21" s="164" t="s">
        <v>86</v>
      </c>
      <c r="H21" s="136">
        <v>30120</v>
      </c>
      <c r="I21" s="124" t="s">
        <v>58</v>
      </c>
      <c r="K21" s="136"/>
      <c r="N21" s="143"/>
    </row>
    <row r="22" spans="2:21" s="135" customFormat="1">
      <c r="B22" s="135">
        <v>1</v>
      </c>
      <c r="C22" s="124"/>
      <c r="D22" s="124" t="s">
        <v>87</v>
      </c>
      <c r="E22" s="124" t="s">
        <v>20</v>
      </c>
      <c r="F22" s="124"/>
      <c r="G22" s="124" t="s">
        <v>88</v>
      </c>
      <c r="H22" s="142" t="s">
        <v>89</v>
      </c>
      <c r="I22" s="135" t="s">
        <v>90</v>
      </c>
      <c r="K22" s="142"/>
      <c r="N22" s="131" t="s">
        <v>91</v>
      </c>
    </row>
    <row r="23" spans="2:21" s="135" customFormat="1">
      <c r="B23" s="135">
        <v>1</v>
      </c>
      <c r="C23" s="124"/>
      <c r="D23" s="124" t="s">
        <v>92</v>
      </c>
      <c r="E23" s="124" t="s">
        <v>20</v>
      </c>
      <c r="F23" s="124"/>
      <c r="G23" s="164" t="s">
        <v>93</v>
      </c>
      <c r="H23" s="142">
        <v>130672</v>
      </c>
      <c r="I23" s="135" t="s">
        <v>94</v>
      </c>
      <c r="K23" s="142"/>
      <c r="N23" s="131"/>
    </row>
    <row r="24" spans="2:21" s="135" customFormat="1">
      <c r="B24" s="135">
        <v>1</v>
      </c>
      <c r="C24" s="124"/>
      <c r="D24" s="124" t="s">
        <v>95</v>
      </c>
      <c r="E24" s="124" t="s">
        <v>20</v>
      </c>
      <c r="F24" s="124"/>
      <c r="G24" s="124" t="s">
        <v>96</v>
      </c>
      <c r="H24" s="142" t="s">
        <v>97</v>
      </c>
      <c r="K24" s="142">
        <v>534.36</v>
      </c>
      <c r="N24" s="143"/>
    </row>
    <row r="25" spans="2:21" s="135" customFormat="1">
      <c r="B25" s="135">
        <v>1</v>
      </c>
      <c r="C25" s="124"/>
      <c r="D25" s="124" t="s">
        <v>98</v>
      </c>
      <c r="E25" s="124" t="s">
        <v>20</v>
      </c>
      <c r="F25" s="124"/>
      <c r="G25" s="124" t="s">
        <v>99</v>
      </c>
      <c r="H25" s="136" t="s">
        <v>100</v>
      </c>
      <c r="I25" s="124" t="s">
        <v>94</v>
      </c>
      <c r="J25" s="124"/>
      <c r="K25" s="136"/>
      <c r="L25" s="124"/>
      <c r="M25" s="124"/>
      <c r="N25" s="143"/>
      <c r="O25" s="124"/>
      <c r="P25" s="124"/>
      <c r="Q25" s="124"/>
      <c r="R25" s="124"/>
      <c r="S25" s="124"/>
      <c r="T25" s="124"/>
      <c r="U25" s="124"/>
    </row>
    <row r="26" spans="2:21" s="135" customFormat="1">
      <c r="B26" s="135">
        <v>1</v>
      </c>
      <c r="C26" s="124"/>
      <c r="D26" s="124" t="s">
        <v>101</v>
      </c>
      <c r="E26" s="124" t="s">
        <v>20</v>
      </c>
      <c r="F26" s="124"/>
      <c r="G26" s="124"/>
      <c r="H26" s="142" t="s">
        <v>102</v>
      </c>
      <c r="K26" s="142"/>
      <c r="N26" s="131" t="s">
        <v>91</v>
      </c>
    </row>
    <row r="27" spans="2:21">
      <c r="B27" s="135">
        <v>1</v>
      </c>
      <c r="C27" s="124"/>
      <c r="D27" s="124" t="s">
        <v>103</v>
      </c>
      <c r="E27" s="124" t="s">
        <v>20</v>
      </c>
      <c r="F27" s="124"/>
      <c r="G27" s="124"/>
      <c r="H27" s="142" t="s">
        <v>104</v>
      </c>
      <c r="N27" s="120"/>
    </row>
    <row r="28" spans="2:21">
      <c r="B28" s="135">
        <v>1</v>
      </c>
      <c r="C28" s="124"/>
      <c r="D28" s="124" t="s">
        <v>105</v>
      </c>
      <c r="E28" s="124" t="s">
        <v>20</v>
      </c>
      <c r="F28" s="124"/>
      <c r="G28" s="124" t="s">
        <v>106</v>
      </c>
      <c r="H28" s="142" t="s">
        <v>107</v>
      </c>
      <c r="N28" s="120"/>
    </row>
    <row r="29" spans="2:21">
      <c r="B29" s="135"/>
      <c r="C29" s="124"/>
      <c r="D29" s="168" t="s">
        <v>108</v>
      </c>
      <c r="E29" s="168" t="s">
        <v>20</v>
      </c>
      <c r="F29" s="168"/>
      <c r="G29" s="168" t="s">
        <v>109</v>
      </c>
      <c r="H29" s="170" t="s">
        <v>110</v>
      </c>
      <c r="N29" s="120"/>
    </row>
    <row r="30" spans="2:21">
      <c r="B30" s="135"/>
      <c r="C30" s="124"/>
      <c r="D30" s="168" t="s">
        <v>111</v>
      </c>
      <c r="E30" s="168" t="s">
        <v>20</v>
      </c>
      <c r="F30" s="168"/>
      <c r="G30" s="168" t="s">
        <v>112</v>
      </c>
      <c r="H30" s="170" t="s">
        <v>113</v>
      </c>
      <c r="N30" s="120"/>
    </row>
    <row r="31" spans="2:21">
      <c r="B31" s="135"/>
      <c r="C31" s="124"/>
      <c r="D31" s="168" t="s">
        <v>114</v>
      </c>
      <c r="E31" s="168" t="s">
        <v>20</v>
      </c>
      <c r="F31" s="168"/>
      <c r="G31" s="168" t="s">
        <v>115</v>
      </c>
      <c r="H31" s="170" t="s">
        <v>116</v>
      </c>
      <c r="N31" s="120"/>
    </row>
    <row r="32" spans="2:21">
      <c r="B32" s="135"/>
      <c r="C32" s="124"/>
      <c r="D32" s="139" t="s">
        <v>117</v>
      </c>
      <c r="E32" s="168" t="s">
        <v>20</v>
      </c>
      <c r="F32" s="168"/>
      <c r="G32" s="171" t="s">
        <v>118</v>
      </c>
      <c r="H32" s="170" t="s">
        <v>119</v>
      </c>
      <c r="N32" s="120"/>
    </row>
    <row r="33" spans="2:14">
      <c r="B33" s="135"/>
      <c r="C33" s="124"/>
      <c r="D33" s="168" t="s">
        <v>120</v>
      </c>
      <c r="E33" s="168" t="s">
        <v>20</v>
      </c>
      <c r="F33" s="168"/>
      <c r="G33" s="168" t="s">
        <v>121</v>
      </c>
      <c r="H33" s="170" t="s">
        <v>703</v>
      </c>
      <c r="N33" s="120"/>
    </row>
    <row r="34" spans="2:14">
      <c r="B34" s="135">
        <v>1</v>
      </c>
      <c r="C34" s="124"/>
      <c r="D34" s="168" t="s">
        <v>120</v>
      </c>
      <c r="E34" s="168" t="s">
        <v>704</v>
      </c>
      <c r="F34" s="168"/>
      <c r="G34" s="168">
        <v>240490</v>
      </c>
      <c r="H34" s="170" t="s">
        <v>705</v>
      </c>
      <c r="I34" s="58" t="s">
        <v>26</v>
      </c>
      <c r="N34" s="120"/>
    </row>
    <row r="35" spans="2:14" ht="14.25">
      <c r="B35" s="135">
        <v>1</v>
      </c>
      <c r="C35" s="124"/>
      <c r="D35" s="168" t="s">
        <v>706</v>
      </c>
      <c r="E35" s="168" t="s">
        <v>704</v>
      </c>
      <c r="F35" s="168"/>
      <c r="G35" s="187" t="s">
        <v>707</v>
      </c>
      <c r="H35" s="188" t="s">
        <v>708</v>
      </c>
      <c r="N35" s="120"/>
    </row>
    <row r="36" spans="2:14" ht="14.25">
      <c r="B36" s="135">
        <v>1</v>
      </c>
      <c r="C36" s="124"/>
      <c r="D36" s="124" t="s">
        <v>122</v>
      </c>
      <c r="E36" s="124" t="s">
        <v>20</v>
      </c>
      <c r="F36" s="124"/>
      <c r="G36" s="169" t="s">
        <v>123</v>
      </c>
      <c r="H36" s="142" t="s">
        <v>124</v>
      </c>
      <c r="N36" s="120"/>
    </row>
    <row r="37" spans="2:14" ht="14.25">
      <c r="B37" s="135">
        <v>1</v>
      </c>
      <c r="C37" s="124"/>
      <c r="D37" s="124" t="s">
        <v>125</v>
      </c>
      <c r="E37" s="124" t="s">
        <v>20</v>
      </c>
      <c r="F37" s="124"/>
      <c r="G37" s="169" t="s">
        <v>126</v>
      </c>
      <c r="H37" s="142" t="s">
        <v>127</v>
      </c>
      <c r="N37" s="120"/>
    </row>
    <row r="38" spans="2:14" ht="14.25">
      <c r="B38" s="135">
        <v>1</v>
      </c>
      <c r="C38" s="124"/>
      <c r="D38" s="124" t="s">
        <v>128</v>
      </c>
      <c r="E38" s="124" t="s">
        <v>20</v>
      </c>
      <c r="F38" s="124"/>
      <c r="G38" s="169" t="s">
        <v>129</v>
      </c>
      <c r="H38" s="142" t="s">
        <v>130</v>
      </c>
      <c r="N38" s="120"/>
    </row>
    <row r="39" spans="2:14" ht="14.25">
      <c r="B39" s="135">
        <v>1</v>
      </c>
      <c r="C39" s="124"/>
      <c r="D39" s="124" t="s">
        <v>131</v>
      </c>
      <c r="E39" s="124" t="s">
        <v>20</v>
      </c>
      <c r="F39" s="124"/>
      <c r="G39" s="169" t="s">
        <v>132</v>
      </c>
      <c r="H39" s="142" t="s">
        <v>133</v>
      </c>
      <c r="N39" s="120"/>
    </row>
    <row r="40" spans="2:14">
      <c r="B40" s="135">
        <v>1</v>
      </c>
      <c r="C40" s="124"/>
      <c r="D40" s="124" t="s">
        <v>668</v>
      </c>
      <c r="E40" s="124" t="s">
        <v>671</v>
      </c>
      <c r="F40" s="124"/>
      <c r="G40" s="124" t="s">
        <v>670</v>
      </c>
      <c r="H40" s="142" t="s">
        <v>669</v>
      </c>
      <c r="N40" s="120"/>
    </row>
    <row r="41" spans="2:14">
      <c r="B41" s="135">
        <v>1</v>
      </c>
      <c r="C41" s="124"/>
      <c r="D41" s="124" t="s">
        <v>672</v>
      </c>
      <c r="E41" s="124" t="s">
        <v>671</v>
      </c>
      <c r="F41" s="124"/>
      <c r="G41" s="124"/>
      <c r="H41" s="142" t="s">
        <v>673</v>
      </c>
      <c r="N41" s="120"/>
    </row>
    <row r="42" spans="2:14">
      <c r="B42" s="135">
        <v>1</v>
      </c>
      <c r="C42" s="124"/>
      <c r="D42" s="124" t="s">
        <v>674</v>
      </c>
      <c r="E42" s="124" t="s">
        <v>20</v>
      </c>
      <c r="F42" s="124"/>
      <c r="G42" s="124" t="s">
        <v>676</v>
      </c>
      <c r="H42" s="142" t="s">
        <v>675</v>
      </c>
      <c r="N42" s="120"/>
    </row>
    <row r="43" spans="2:14">
      <c r="B43" s="135">
        <v>1</v>
      </c>
      <c r="C43" s="124"/>
      <c r="D43" s="124" t="s">
        <v>677</v>
      </c>
      <c r="E43" s="124" t="s">
        <v>20</v>
      </c>
      <c r="F43" s="124"/>
      <c r="G43" s="124" t="s">
        <v>679</v>
      </c>
      <c r="H43" s="142" t="s">
        <v>678</v>
      </c>
      <c r="N43" s="120"/>
    </row>
    <row r="44" spans="2:14">
      <c r="B44" s="135">
        <v>1</v>
      </c>
      <c r="C44" s="124"/>
      <c r="D44" s="124" t="s">
        <v>243</v>
      </c>
      <c r="E44" s="124" t="s">
        <v>20</v>
      </c>
      <c r="F44" s="124"/>
      <c r="G44" s="124" t="s">
        <v>684</v>
      </c>
      <c r="H44" s="142" t="s">
        <v>683</v>
      </c>
      <c r="N44" s="120"/>
    </row>
    <row r="45" spans="2:14">
      <c r="B45" s="135">
        <v>1</v>
      </c>
      <c r="C45" s="124"/>
      <c r="D45" s="124" t="s">
        <v>685</v>
      </c>
      <c r="E45" s="124" t="s">
        <v>20</v>
      </c>
      <c r="F45" s="124"/>
      <c r="G45" s="124" t="s">
        <v>686</v>
      </c>
      <c r="H45" s="142">
        <v>8053331000</v>
      </c>
      <c r="N45" s="120"/>
    </row>
    <row r="46" spans="2:14" ht="14.25">
      <c r="B46" s="135"/>
      <c r="C46" s="124"/>
      <c r="D46" s="124" t="s">
        <v>709</v>
      </c>
      <c r="E46" s="124" t="s">
        <v>704</v>
      </c>
      <c r="F46" s="124" t="s">
        <v>26</v>
      </c>
      <c r="G46">
        <v>409971000</v>
      </c>
      <c r="H46" s="188" t="s">
        <v>710</v>
      </c>
      <c r="N46" s="120"/>
    </row>
    <row r="47" spans="2:14">
      <c r="B47" s="135"/>
      <c r="C47" s="124"/>
      <c r="D47" s="124" t="s">
        <v>711</v>
      </c>
      <c r="E47" s="124" t="s">
        <v>712</v>
      </c>
      <c r="F47" s="124" t="s">
        <v>221</v>
      </c>
      <c r="G47" s="124">
        <v>428120250</v>
      </c>
      <c r="H47" s="58" t="s">
        <v>713</v>
      </c>
      <c r="N47" s="120"/>
    </row>
    <row r="48" spans="2:14">
      <c r="B48" s="135">
        <v>1</v>
      </c>
      <c r="C48" s="124"/>
      <c r="D48" s="124" t="s">
        <v>723</v>
      </c>
      <c r="E48" s="124" t="s">
        <v>20</v>
      </c>
      <c r="F48" s="124" t="s">
        <v>160</v>
      </c>
      <c r="G48" s="124"/>
      <c r="H48" s="58" t="s">
        <v>724</v>
      </c>
      <c r="N48" s="120"/>
    </row>
    <row r="49" spans="2:14">
      <c r="B49" s="135">
        <v>1</v>
      </c>
      <c r="C49" s="124"/>
      <c r="D49" s="124" t="s">
        <v>51</v>
      </c>
      <c r="E49" s="124" t="s">
        <v>20</v>
      </c>
      <c r="F49" s="124" t="s">
        <v>725</v>
      </c>
      <c r="G49" s="164" t="s">
        <v>726</v>
      </c>
      <c r="H49" s="142" t="s">
        <v>53</v>
      </c>
      <c r="N49" s="120"/>
    </row>
    <row r="50" spans="2:14" ht="15.75">
      <c r="B50" s="135"/>
      <c r="C50" s="124"/>
      <c r="D50" s="124" t="s">
        <v>134</v>
      </c>
      <c r="E50" s="124" t="s">
        <v>135</v>
      </c>
      <c r="F50" s="124"/>
      <c r="G50" s="174" t="s">
        <v>136</v>
      </c>
      <c r="H50" s="175" t="s">
        <v>137</v>
      </c>
      <c r="I50" s="58" t="s">
        <v>138</v>
      </c>
      <c r="N50" s="120"/>
    </row>
    <row r="51" spans="2:14" ht="14.25">
      <c r="B51" s="58">
        <v>2</v>
      </c>
      <c r="D51" s="27" t="s">
        <v>139</v>
      </c>
      <c r="E51" s="27" t="s">
        <v>20</v>
      </c>
      <c r="F51" s="27"/>
      <c r="G51" s="27"/>
      <c r="H51" s="105" t="s">
        <v>140</v>
      </c>
      <c r="I51" s="58" t="s">
        <v>80</v>
      </c>
      <c r="N51" s="121" t="s">
        <v>141</v>
      </c>
    </row>
    <row r="52" spans="2:14">
      <c r="D52" s="27" t="s">
        <v>142</v>
      </c>
      <c r="E52" s="27" t="s">
        <v>20</v>
      </c>
      <c r="F52" s="27"/>
      <c r="G52" s="27"/>
    </row>
    <row r="53" spans="2:14" s="27" customFormat="1">
      <c r="D53" s="27" t="s">
        <v>143</v>
      </c>
      <c r="E53" s="27" t="s">
        <v>144</v>
      </c>
      <c r="H53" s="108"/>
      <c r="K53" s="108"/>
      <c r="N53" s="58"/>
    </row>
    <row r="54" spans="2:14" s="27" customFormat="1">
      <c r="D54" s="27" t="s">
        <v>145</v>
      </c>
      <c r="E54" s="27" t="s">
        <v>20</v>
      </c>
      <c r="H54" s="108"/>
      <c r="K54" s="108"/>
      <c r="N54" s="58"/>
    </row>
    <row r="55" spans="2:14">
      <c r="D55" s="114" t="s">
        <v>146</v>
      </c>
      <c r="E55" s="27" t="s">
        <v>20</v>
      </c>
      <c r="F55" s="27"/>
      <c r="G55" s="58" t="s">
        <v>147</v>
      </c>
      <c r="H55" s="105" t="s">
        <v>148</v>
      </c>
      <c r="I55" s="27" t="s">
        <v>149</v>
      </c>
      <c r="J55" s="27"/>
      <c r="K55" s="108"/>
      <c r="L55" s="27"/>
      <c r="M55" s="27"/>
      <c r="N55" s="58" t="s">
        <v>150</v>
      </c>
    </row>
    <row r="56" spans="2:14" s="27" customFormat="1">
      <c r="D56" s="27" t="s">
        <v>151</v>
      </c>
      <c r="E56" s="27" t="s">
        <v>144</v>
      </c>
      <c r="H56" s="108"/>
      <c r="K56" s="108"/>
    </row>
    <row r="57" spans="2:14" s="27" customFormat="1">
      <c r="B57" s="124">
        <v>2</v>
      </c>
      <c r="D57" s="124" t="s">
        <v>152</v>
      </c>
      <c r="E57" s="124" t="s">
        <v>20</v>
      </c>
      <c r="G57" s="27" t="s">
        <v>153</v>
      </c>
      <c r="H57" s="136" t="s">
        <v>154</v>
      </c>
      <c r="K57" s="108"/>
    </row>
    <row r="58" spans="2:14" s="27" customFormat="1" ht="15.75" customHeight="1">
      <c r="D58" s="27" t="s">
        <v>155</v>
      </c>
      <c r="E58" s="27" t="s">
        <v>156</v>
      </c>
      <c r="H58" s="109"/>
      <c r="K58" s="108"/>
    </row>
    <row r="59" spans="2:14" s="124" customFormat="1" ht="15.75" customHeight="1">
      <c r="B59" s="124">
        <v>1</v>
      </c>
      <c r="D59" s="124" t="s">
        <v>157</v>
      </c>
      <c r="E59" s="124" t="s">
        <v>144</v>
      </c>
      <c r="G59" s="124" t="s">
        <v>158</v>
      </c>
      <c r="H59" s="125" t="s">
        <v>159</v>
      </c>
      <c r="I59" s="124" t="s">
        <v>160</v>
      </c>
      <c r="K59" s="136"/>
      <c r="N59" s="124" t="s">
        <v>161</v>
      </c>
    </row>
    <row r="60" spans="2:14" s="124" customFormat="1" ht="15.75" customHeight="1">
      <c r="B60" s="124">
        <v>1</v>
      </c>
      <c r="C60" s="124" t="s">
        <v>162</v>
      </c>
      <c r="D60" s="135" t="s">
        <v>163</v>
      </c>
      <c r="E60" s="124" t="s">
        <v>20</v>
      </c>
      <c r="G60" s="124" t="s">
        <v>164</v>
      </c>
      <c r="H60" s="125"/>
      <c r="K60" s="136"/>
    </row>
    <row r="61" spans="2:14" s="124" customFormat="1" ht="15.75" customHeight="1">
      <c r="B61" s="135">
        <v>1</v>
      </c>
      <c r="C61" s="135"/>
      <c r="D61" s="135" t="s">
        <v>165</v>
      </c>
      <c r="E61" s="124" t="s">
        <v>20</v>
      </c>
      <c r="F61" s="135"/>
      <c r="G61" s="135"/>
      <c r="H61" s="142">
        <v>127078</v>
      </c>
      <c r="K61" s="136"/>
      <c r="N61" s="124" t="s">
        <v>166</v>
      </c>
    </row>
    <row r="62" spans="2:14" s="124" customFormat="1" ht="15.75" customHeight="1">
      <c r="B62" s="135">
        <v>1</v>
      </c>
      <c r="C62" s="135" t="s">
        <v>46</v>
      </c>
      <c r="D62" s="135" t="s">
        <v>167</v>
      </c>
      <c r="E62" s="124" t="s">
        <v>20</v>
      </c>
      <c r="F62" s="135"/>
      <c r="G62" s="135"/>
      <c r="H62" s="142" t="s">
        <v>168</v>
      </c>
      <c r="K62" s="154">
        <v>41.05</v>
      </c>
      <c r="L62" s="138"/>
    </row>
    <row r="63" spans="2:14" s="124" customFormat="1" ht="15.75" customHeight="1">
      <c r="B63" s="135">
        <v>1</v>
      </c>
      <c r="C63" s="135"/>
      <c r="D63" s="135" t="s">
        <v>169</v>
      </c>
      <c r="E63" s="124" t="s">
        <v>20</v>
      </c>
      <c r="F63" s="135"/>
      <c r="G63" s="135"/>
      <c r="H63" s="142" t="s">
        <v>170</v>
      </c>
      <c r="K63" s="154">
        <v>139.19999999999999</v>
      </c>
    </row>
    <row r="64" spans="2:14" s="124" customFormat="1" ht="15.75" customHeight="1">
      <c r="B64" s="135">
        <v>1</v>
      </c>
      <c r="C64" s="135"/>
      <c r="D64" s="135" t="s">
        <v>171</v>
      </c>
      <c r="E64" s="124" t="s">
        <v>20</v>
      </c>
      <c r="F64" s="135"/>
      <c r="G64" s="135"/>
      <c r="H64" s="142" t="s">
        <v>172</v>
      </c>
      <c r="K64" s="154"/>
      <c r="N64" s="124" t="s">
        <v>173</v>
      </c>
    </row>
    <row r="65" spans="2:11" s="124" customFormat="1" ht="15.75" customHeight="1">
      <c r="B65" s="135">
        <v>1</v>
      </c>
      <c r="C65" s="135"/>
      <c r="D65" s="135" t="s">
        <v>733</v>
      </c>
      <c r="E65" s="124" t="s">
        <v>20</v>
      </c>
      <c r="F65" s="135"/>
      <c r="G65" s="135"/>
      <c r="H65" s="142" t="s">
        <v>734</v>
      </c>
      <c r="K65" s="154"/>
    </row>
    <row r="66" spans="2:11" s="124" customFormat="1" ht="15.75" customHeight="1">
      <c r="B66" s="135">
        <v>1</v>
      </c>
      <c r="C66" s="135"/>
      <c r="D66" s="135" t="s">
        <v>735</v>
      </c>
      <c r="E66" s="124" t="s">
        <v>20</v>
      </c>
      <c r="F66" s="135"/>
      <c r="G66" s="135"/>
      <c r="H66" s="142" t="s">
        <v>736</v>
      </c>
      <c r="K66" s="154"/>
    </row>
    <row r="67" spans="2:11" s="124" customFormat="1" ht="15.75" customHeight="1">
      <c r="B67" s="135">
        <v>1</v>
      </c>
      <c r="C67" s="135"/>
      <c r="D67" s="135" t="s">
        <v>737</v>
      </c>
      <c r="E67" s="124" t="s">
        <v>20</v>
      </c>
      <c r="F67" s="135"/>
      <c r="G67" s="135"/>
      <c r="H67" s="142" t="s">
        <v>738</v>
      </c>
      <c r="K67" s="154"/>
    </row>
    <row r="68" spans="2:11" s="124" customFormat="1" ht="15.75" customHeight="1">
      <c r="B68" s="135">
        <v>1</v>
      </c>
      <c r="C68" s="135"/>
      <c r="D68" s="135" t="s">
        <v>739</v>
      </c>
      <c r="E68" s="124" t="s">
        <v>20</v>
      </c>
      <c r="F68" s="135"/>
      <c r="G68" s="135"/>
      <c r="H68" s="142" t="s">
        <v>740</v>
      </c>
      <c r="K68" s="154"/>
    </row>
    <row r="69" spans="2:11" s="124" customFormat="1" ht="15.75" customHeight="1">
      <c r="B69" s="135">
        <v>1</v>
      </c>
      <c r="C69" s="135"/>
      <c r="D69" s="135" t="s">
        <v>741</v>
      </c>
      <c r="E69" s="124" t="s">
        <v>742</v>
      </c>
      <c r="F69" s="135"/>
      <c r="G69" s="135"/>
      <c r="H69" s="142" t="s">
        <v>743</v>
      </c>
      <c r="I69" s="124" t="s">
        <v>715</v>
      </c>
      <c r="K69" s="154"/>
    </row>
    <row r="70" spans="2:11" s="124" customFormat="1" ht="15.75" customHeight="1">
      <c r="B70" s="135"/>
      <c r="C70" s="135"/>
      <c r="D70" s="135"/>
      <c r="F70" s="135"/>
      <c r="G70" s="135"/>
      <c r="H70" s="142"/>
      <c r="K70" s="154"/>
    </row>
    <row r="71" spans="2:11" s="124" customFormat="1" ht="15.75" customHeight="1">
      <c r="B71" s="135"/>
      <c r="C71" s="135"/>
      <c r="D71" s="135"/>
      <c r="F71" s="135"/>
      <c r="G71" s="135"/>
      <c r="H71" s="142"/>
      <c r="K71" s="154"/>
    </row>
    <row r="72" spans="2:11" s="124" customFormat="1" ht="15.75" customHeight="1">
      <c r="B72" s="135"/>
      <c r="C72" s="135"/>
      <c r="D72" s="135"/>
      <c r="F72" s="135"/>
      <c r="G72" s="135"/>
      <c r="H72" s="142"/>
      <c r="K72" s="154"/>
    </row>
    <row r="73" spans="2:11" s="124" customFormat="1" ht="15.75" customHeight="1">
      <c r="B73" s="135"/>
      <c r="C73" s="135"/>
      <c r="D73" s="135"/>
      <c r="F73" s="135"/>
      <c r="G73" s="135"/>
      <c r="H73" s="142"/>
      <c r="K73" s="154"/>
    </row>
    <row r="74" spans="2:11" s="124" customFormat="1" ht="15.75" customHeight="1">
      <c r="B74" s="135"/>
      <c r="C74" s="135"/>
      <c r="D74" s="135"/>
      <c r="F74" s="135"/>
      <c r="G74" s="135"/>
      <c r="H74" s="142"/>
      <c r="K74" s="154"/>
    </row>
    <row r="75" spans="2:11" s="124" customFormat="1" ht="15.75" customHeight="1">
      <c r="B75" s="135"/>
      <c r="C75" s="135"/>
      <c r="D75" s="135"/>
      <c r="F75" s="135"/>
      <c r="G75" s="135"/>
      <c r="H75" s="142"/>
      <c r="K75" s="154"/>
    </row>
    <row r="76" spans="2:11" s="124" customFormat="1" ht="15.75" customHeight="1">
      <c r="B76" s="135"/>
      <c r="C76" s="135"/>
      <c r="D76" s="135"/>
      <c r="E76" s="124" t="s">
        <v>732</v>
      </c>
      <c r="F76" s="135"/>
      <c r="G76" s="135"/>
      <c r="H76" s="142"/>
      <c r="K76" s="154"/>
    </row>
    <row r="77" spans="2:11" s="124" customFormat="1" ht="15.75" customHeight="1">
      <c r="B77" s="135"/>
      <c r="C77" s="135"/>
      <c r="D77" s="135"/>
      <c r="F77" s="135"/>
      <c r="G77" s="135"/>
      <c r="H77" s="142"/>
      <c r="K77" s="154"/>
    </row>
    <row r="78" spans="2:11" s="124" customFormat="1" ht="15.75" customHeight="1">
      <c r="B78" s="135"/>
      <c r="C78" s="135"/>
      <c r="D78" s="135"/>
      <c r="F78" s="135"/>
      <c r="G78" s="135"/>
      <c r="H78" s="142"/>
      <c r="K78" s="154"/>
    </row>
    <row r="79" spans="2:11" s="124" customFormat="1" ht="15.75" customHeight="1">
      <c r="B79" s="135"/>
      <c r="C79" s="135"/>
      <c r="D79" s="135"/>
      <c r="F79" s="135"/>
      <c r="G79" s="135"/>
      <c r="H79" s="142"/>
      <c r="K79" s="154"/>
    </row>
    <row r="80" spans="2:11" s="124" customFormat="1" ht="15.75" customHeight="1">
      <c r="B80" s="135"/>
      <c r="C80" s="135"/>
      <c r="D80" s="135"/>
      <c r="F80" s="135"/>
      <c r="G80" s="135"/>
      <c r="H80" s="142"/>
      <c r="K80" s="154"/>
    </row>
    <row r="81" spans="1:14" s="178" customFormat="1" ht="15.75" customHeight="1">
      <c r="B81" s="179">
        <v>1</v>
      </c>
      <c r="C81" s="179"/>
      <c r="D81" s="179" t="s">
        <v>174</v>
      </c>
      <c r="E81" s="178" t="s">
        <v>20</v>
      </c>
      <c r="F81" s="179"/>
      <c r="G81" s="179"/>
      <c r="H81" s="180" t="s">
        <v>175</v>
      </c>
      <c r="K81" s="181">
        <v>74.12</v>
      </c>
      <c r="M81" s="178">
        <v>62.3</v>
      </c>
      <c r="N81" s="178" t="s">
        <v>176</v>
      </c>
    </row>
    <row r="82" spans="1:14" s="182" customFormat="1" ht="15.75" customHeight="1">
      <c r="B82" s="183">
        <v>1</v>
      </c>
      <c r="C82" s="183"/>
      <c r="D82" s="183" t="s">
        <v>177</v>
      </c>
      <c r="E82" s="182" t="s">
        <v>20</v>
      </c>
      <c r="F82" s="183"/>
      <c r="G82" s="183"/>
      <c r="H82" s="184" t="s">
        <v>178</v>
      </c>
      <c r="K82" s="185" t="s">
        <v>179</v>
      </c>
      <c r="N82" s="186" t="s">
        <v>180</v>
      </c>
    </row>
    <row r="83" spans="1:14" s="182" customFormat="1" ht="15.75" customHeight="1">
      <c r="B83" s="183">
        <v>1</v>
      </c>
      <c r="C83" s="183"/>
      <c r="D83" s="183" t="s">
        <v>680</v>
      </c>
      <c r="E83" s="182" t="s">
        <v>20</v>
      </c>
      <c r="F83" s="183"/>
      <c r="G83" s="183"/>
      <c r="H83" s="184" t="s">
        <v>681</v>
      </c>
      <c r="K83" s="185" t="s">
        <v>682</v>
      </c>
      <c r="N83" s="186"/>
    </row>
    <row r="84" spans="1:14" s="182" customFormat="1" ht="15.75" customHeight="1">
      <c r="B84" s="183">
        <v>1</v>
      </c>
      <c r="C84" s="183"/>
      <c r="D84" s="183" t="s">
        <v>729</v>
      </c>
      <c r="E84" s="182" t="s">
        <v>20</v>
      </c>
      <c r="F84" s="183"/>
      <c r="G84" s="183"/>
      <c r="H84" s="184" t="s">
        <v>730</v>
      </c>
      <c r="K84" s="185" t="s">
        <v>731</v>
      </c>
      <c r="N84" s="186"/>
    </row>
    <row r="85" spans="1:14" s="178" customFormat="1" ht="23.25" customHeight="1">
      <c r="B85" s="179">
        <v>1</v>
      </c>
      <c r="C85" s="179"/>
      <c r="D85" s="179" t="s">
        <v>727</v>
      </c>
      <c r="E85" s="178" t="s">
        <v>20</v>
      </c>
      <c r="F85" s="179"/>
      <c r="G85" s="179"/>
      <c r="H85" s="180" t="s">
        <v>181</v>
      </c>
      <c r="K85" s="181" t="s">
        <v>728</v>
      </c>
      <c r="N85" s="178" t="s">
        <v>182</v>
      </c>
    </row>
    <row r="86" spans="1:14" s="27" customFormat="1" ht="15" hidden="1" customHeight="1">
      <c r="A86" s="115"/>
      <c r="B86" s="116"/>
      <c r="C86" s="116"/>
      <c r="D86" s="118" t="s">
        <v>183</v>
      </c>
      <c r="E86" s="115" t="s">
        <v>20</v>
      </c>
      <c r="F86" s="116"/>
      <c r="G86" s="116"/>
      <c r="H86" s="117" t="s">
        <v>184</v>
      </c>
      <c r="I86" s="115"/>
      <c r="J86" s="115"/>
      <c r="K86" s="157">
        <v>84.08</v>
      </c>
      <c r="N86" s="123" t="s">
        <v>185</v>
      </c>
    </row>
    <row r="87" spans="1:14" s="124" customFormat="1" ht="15" customHeight="1">
      <c r="B87" s="135">
        <v>2</v>
      </c>
      <c r="C87" s="135"/>
      <c r="D87" s="163" t="s">
        <v>186</v>
      </c>
      <c r="E87" s="124" t="s">
        <v>20</v>
      </c>
      <c r="F87" s="135"/>
      <c r="G87" s="135"/>
      <c r="H87" s="142" t="s">
        <v>187</v>
      </c>
      <c r="K87" s="156"/>
      <c r="N87" s="126"/>
    </row>
    <row r="88" spans="1:14" s="124" customFormat="1" ht="15" customHeight="1">
      <c r="B88" s="135">
        <v>2</v>
      </c>
      <c r="C88" s="135"/>
      <c r="D88" s="135" t="s">
        <v>188</v>
      </c>
      <c r="E88" s="128" t="s">
        <v>20</v>
      </c>
      <c r="F88" s="135"/>
      <c r="G88" s="163" t="s">
        <v>189</v>
      </c>
      <c r="H88" s="142" t="s">
        <v>190</v>
      </c>
      <c r="K88" s="156"/>
      <c r="N88" s="126"/>
    </row>
    <row r="89" spans="1:14" s="124" customFormat="1" ht="15" customHeight="1">
      <c r="B89" s="135">
        <v>1</v>
      </c>
      <c r="C89" s="135" t="s">
        <v>191</v>
      </c>
      <c r="D89" s="135" t="s">
        <v>192</v>
      </c>
      <c r="E89" s="124" t="s">
        <v>20</v>
      </c>
      <c r="F89" s="135"/>
      <c r="G89" s="159">
        <v>2125597</v>
      </c>
      <c r="H89" s="142">
        <v>8081540500</v>
      </c>
      <c r="K89" s="154">
        <v>118.97</v>
      </c>
      <c r="N89" s="126" t="s">
        <v>193</v>
      </c>
    </row>
    <row r="90" spans="1:14" s="124" customFormat="1" ht="15" customHeight="1">
      <c r="B90" s="135"/>
      <c r="C90" s="135"/>
      <c r="D90" s="27" t="s">
        <v>194</v>
      </c>
      <c r="E90" s="27" t="s">
        <v>195</v>
      </c>
      <c r="F90" s="27"/>
      <c r="G90" s="27"/>
      <c r="H90" s="105"/>
      <c r="I90" s="58"/>
      <c r="J90" s="58"/>
      <c r="K90" s="154"/>
      <c r="N90" s="126"/>
    </row>
    <row r="91" spans="1:14" s="124" customFormat="1" ht="15" customHeight="1">
      <c r="B91" s="135"/>
      <c r="C91" s="135"/>
      <c r="D91" s="27" t="s">
        <v>196</v>
      </c>
      <c r="E91" s="27" t="s">
        <v>197</v>
      </c>
      <c r="F91" s="27"/>
      <c r="G91" s="27"/>
      <c r="H91" s="108"/>
      <c r="I91" s="27"/>
      <c r="J91" s="27"/>
      <c r="K91" s="154"/>
      <c r="N91" s="126"/>
    </row>
    <row r="92" spans="1:14" s="124" customFormat="1" ht="15" customHeight="1">
      <c r="B92" s="135"/>
      <c r="C92" s="135"/>
      <c r="D92" s="27" t="s">
        <v>198</v>
      </c>
      <c r="E92" s="27" t="s">
        <v>20</v>
      </c>
      <c r="F92" s="27"/>
      <c r="G92" s="27"/>
      <c r="H92" s="105" t="s">
        <v>199</v>
      </c>
      <c r="I92" s="58" t="s">
        <v>71</v>
      </c>
      <c r="J92" s="58"/>
      <c r="K92" s="154"/>
      <c r="N92" s="126"/>
    </row>
    <row r="93" spans="1:14" s="124" customFormat="1" ht="14.25">
      <c r="B93" s="124">
        <v>1</v>
      </c>
      <c r="D93" s="124" t="s">
        <v>200</v>
      </c>
      <c r="E93" s="124" t="s">
        <v>20</v>
      </c>
      <c r="G93" s="124" t="s">
        <v>201</v>
      </c>
      <c r="H93" s="136" t="s">
        <v>202</v>
      </c>
      <c r="K93" s="136"/>
      <c r="N93" s="134"/>
    </row>
    <row r="94" spans="1:14" s="128" customFormat="1" ht="15.75" customHeight="1">
      <c r="A94" s="128" t="s">
        <v>203</v>
      </c>
      <c r="B94" s="128">
        <v>1</v>
      </c>
      <c r="C94" s="128" t="s">
        <v>204</v>
      </c>
      <c r="D94" s="128" t="s">
        <v>205</v>
      </c>
      <c r="E94" s="128" t="s">
        <v>20</v>
      </c>
      <c r="G94" s="128" t="s">
        <v>206</v>
      </c>
      <c r="H94" s="145" t="s">
        <v>207</v>
      </c>
      <c r="I94" s="128" t="s">
        <v>26</v>
      </c>
      <c r="K94" s="133"/>
    </row>
    <row r="95" spans="1:14" s="124" customFormat="1" ht="12" customHeight="1">
      <c r="B95" s="124">
        <v>1</v>
      </c>
      <c r="C95" s="124" t="s">
        <v>191</v>
      </c>
      <c r="D95" s="124" t="s">
        <v>208</v>
      </c>
      <c r="E95" s="124" t="s">
        <v>20</v>
      </c>
      <c r="G95" s="124" t="s">
        <v>209</v>
      </c>
      <c r="H95" s="136" t="s">
        <v>210</v>
      </c>
      <c r="I95" s="124" t="s">
        <v>26</v>
      </c>
      <c r="K95" s="136"/>
      <c r="N95" s="131" t="s">
        <v>211</v>
      </c>
    </row>
    <row r="96" spans="1:14" s="124" customFormat="1" ht="15.75" customHeight="1">
      <c r="A96" s="158"/>
      <c r="B96" s="158">
        <v>1</v>
      </c>
      <c r="C96" s="124" t="s">
        <v>191</v>
      </c>
      <c r="D96" s="124" t="s">
        <v>212</v>
      </c>
      <c r="E96" s="124" t="s">
        <v>144</v>
      </c>
      <c r="H96" s="136" t="s">
        <v>213</v>
      </c>
      <c r="I96" s="124" t="s">
        <v>214</v>
      </c>
      <c r="K96" s="136"/>
      <c r="N96" s="134" t="s">
        <v>215</v>
      </c>
    </row>
    <row r="97" spans="1:14" s="27" customFormat="1" ht="15.75" customHeight="1">
      <c r="A97" s="110"/>
      <c r="B97" s="110"/>
      <c r="C97" s="110"/>
      <c r="D97" s="27" t="s">
        <v>216</v>
      </c>
      <c r="E97" s="27" t="s">
        <v>144</v>
      </c>
      <c r="H97" s="108"/>
      <c r="I97" s="111" t="s">
        <v>217</v>
      </c>
      <c r="J97" s="111"/>
      <c r="K97" s="109"/>
      <c r="L97" s="111"/>
      <c r="M97" s="111"/>
    </row>
    <row r="98" spans="1:14" s="124" customFormat="1">
      <c r="B98" s="124">
        <v>1</v>
      </c>
      <c r="C98" s="124" t="s">
        <v>204</v>
      </c>
      <c r="D98" s="124" t="s">
        <v>218</v>
      </c>
      <c r="E98" s="124" t="s">
        <v>20</v>
      </c>
      <c r="G98" s="164" t="s">
        <v>219</v>
      </c>
      <c r="H98" s="136" t="s">
        <v>220</v>
      </c>
      <c r="I98" s="124" t="s">
        <v>221</v>
      </c>
      <c r="K98" s="136"/>
      <c r="N98" s="131" t="s">
        <v>211</v>
      </c>
    </row>
    <row r="99" spans="1:14" s="27" customFormat="1">
      <c r="D99" s="27" t="s">
        <v>222</v>
      </c>
      <c r="E99" s="124" t="s">
        <v>20</v>
      </c>
      <c r="H99" s="108"/>
      <c r="K99" s="108"/>
      <c r="N99" s="120" t="s">
        <v>223</v>
      </c>
    </row>
    <row r="100" spans="1:14" s="124" customFormat="1" ht="14.25">
      <c r="B100" s="124">
        <v>1</v>
      </c>
      <c r="D100" s="124" t="s">
        <v>224</v>
      </c>
      <c r="E100" s="124" t="s">
        <v>20</v>
      </c>
      <c r="G100" s="148" t="s">
        <v>225</v>
      </c>
      <c r="H100" s="136" t="s">
        <v>226</v>
      </c>
      <c r="I100" s="124" t="s">
        <v>227</v>
      </c>
      <c r="K100" s="136"/>
      <c r="N100" s="134" t="s">
        <v>228</v>
      </c>
    </row>
    <row r="101" spans="1:14" s="124" customFormat="1" ht="14.25">
      <c r="B101" s="124">
        <v>1</v>
      </c>
      <c r="D101" s="124" t="s">
        <v>229</v>
      </c>
      <c r="E101" s="124" t="s">
        <v>20</v>
      </c>
      <c r="G101" s="164" t="s">
        <v>230</v>
      </c>
      <c r="H101" s="136" t="s">
        <v>231</v>
      </c>
      <c r="I101" s="124" t="s">
        <v>232</v>
      </c>
      <c r="K101" s="136"/>
      <c r="N101" s="134" t="s">
        <v>233</v>
      </c>
    </row>
    <row r="102" spans="1:14" s="128" customFormat="1" ht="15">
      <c r="A102" s="128" t="s">
        <v>234</v>
      </c>
      <c r="B102" s="128">
        <v>1</v>
      </c>
      <c r="D102" s="128" t="s">
        <v>235</v>
      </c>
      <c r="E102" s="128" t="s">
        <v>20</v>
      </c>
      <c r="H102" s="146">
        <v>455008</v>
      </c>
      <c r="I102" s="128" t="s">
        <v>236</v>
      </c>
      <c r="K102" s="133"/>
      <c r="N102" s="147" t="s">
        <v>237</v>
      </c>
    </row>
    <row r="103" spans="1:14" s="124" customFormat="1" ht="12" customHeight="1">
      <c r="B103" s="124">
        <v>1</v>
      </c>
      <c r="D103" s="124" t="s">
        <v>238</v>
      </c>
      <c r="E103" s="129" t="s">
        <v>239</v>
      </c>
      <c r="F103" s="129"/>
      <c r="G103" s="148" t="s">
        <v>240</v>
      </c>
      <c r="H103" s="136" t="s">
        <v>241</v>
      </c>
      <c r="I103" s="124" t="s">
        <v>232</v>
      </c>
      <c r="K103" s="136"/>
      <c r="N103" s="134" t="s">
        <v>242</v>
      </c>
    </row>
    <row r="104" spans="1:14" s="124" customFormat="1">
      <c r="B104" s="124">
        <v>1</v>
      </c>
      <c r="C104" s="149" t="s">
        <v>204</v>
      </c>
      <c r="D104" s="124" t="s">
        <v>243</v>
      </c>
      <c r="E104" s="124" t="s">
        <v>20</v>
      </c>
      <c r="H104" s="136" t="s">
        <v>244</v>
      </c>
      <c r="I104" s="124" t="s">
        <v>221</v>
      </c>
      <c r="K104" s="136"/>
      <c r="N104" s="131" t="s">
        <v>245</v>
      </c>
    </row>
    <row r="105" spans="1:14" s="27" customFormat="1">
      <c r="D105" s="27" t="s">
        <v>246</v>
      </c>
      <c r="E105" s="27" t="s">
        <v>20</v>
      </c>
      <c r="H105" s="108"/>
      <c r="K105" s="108"/>
      <c r="N105" s="120"/>
    </row>
    <row r="106" spans="1:14" s="27" customFormat="1">
      <c r="D106" s="27" t="s">
        <v>247</v>
      </c>
      <c r="E106" s="27" t="s">
        <v>20</v>
      </c>
      <c r="H106" s="108"/>
      <c r="K106" s="108"/>
      <c r="N106" s="60"/>
    </row>
    <row r="107" spans="1:14" s="124" customFormat="1">
      <c r="B107" s="124">
        <v>1</v>
      </c>
      <c r="C107" s="124" t="s">
        <v>248</v>
      </c>
      <c r="D107" s="124" t="s">
        <v>249</v>
      </c>
      <c r="E107" s="124" t="s">
        <v>20</v>
      </c>
      <c r="G107" s="124" t="s">
        <v>250</v>
      </c>
      <c r="H107" s="136"/>
      <c r="K107" s="136"/>
    </row>
    <row r="108" spans="1:14" s="27" customFormat="1">
      <c r="D108" s="27" t="s">
        <v>251</v>
      </c>
      <c r="E108" s="27" t="s">
        <v>252</v>
      </c>
      <c r="H108" s="108"/>
      <c r="K108" s="108"/>
    </row>
    <row r="109" spans="1:14" s="27" customFormat="1">
      <c r="D109" s="27" t="s">
        <v>253</v>
      </c>
      <c r="E109" s="27" t="s">
        <v>20</v>
      </c>
      <c r="H109" s="108"/>
      <c r="K109" s="108"/>
    </row>
    <row r="110" spans="1:14" s="27" customFormat="1">
      <c r="D110" s="27" t="s">
        <v>254</v>
      </c>
      <c r="E110" s="27" t="s">
        <v>20</v>
      </c>
      <c r="H110" s="108"/>
      <c r="K110" s="108"/>
    </row>
    <row r="111" spans="1:14" s="124" customFormat="1">
      <c r="B111" s="124">
        <v>3</v>
      </c>
      <c r="C111" s="150" t="s">
        <v>204</v>
      </c>
      <c r="D111" s="124" t="s">
        <v>255</v>
      </c>
      <c r="E111" s="124" t="s">
        <v>20</v>
      </c>
      <c r="G111" s="124" t="s">
        <v>256</v>
      </c>
      <c r="H111" s="136">
        <v>411760</v>
      </c>
      <c r="K111" s="136"/>
    </row>
    <row r="112" spans="1:14" s="124" customFormat="1">
      <c r="B112" s="124">
        <v>2</v>
      </c>
      <c r="C112" s="150"/>
      <c r="D112" s="124" t="s">
        <v>257</v>
      </c>
      <c r="E112" s="124" t="s">
        <v>20</v>
      </c>
      <c r="G112" s="124" t="s">
        <v>258</v>
      </c>
      <c r="H112" s="136" t="s">
        <v>259</v>
      </c>
      <c r="K112" s="136"/>
    </row>
    <row r="113" spans="1:14" s="124" customFormat="1">
      <c r="B113" s="124">
        <v>1</v>
      </c>
      <c r="C113" s="150"/>
      <c r="H113" s="136"/>
      <c r="K113" s="136"/>
    </row>
    <row r="114" spans="1:14" s="124" customFormat="1">
      <c r="B114" s="124">
        <v>1</v>
      </c>
      <c r="C114" s="150"/>
      <c r="D114" s="124" t="s">
        <v>260</v>
      </c>
      <c r="E114" s="124" t="s">
        <v>20</v>
      </c>
      <c r="G114" s="124" t="s">
        <v>261</v>
      </c>
      <c r="H114" s="136" t="s">
        <v>262</v>
      </c>
      <c r="K114" s="154">
        <v>85.06</v>
      </c>
      <c r="M114" s="124">
        <v>70.3</v>
      </c>
      <c r="N114" s="124" t="s">
        <v>263</v>
      </c>
    </row>
    <row r="115" spans="1:14" s="124" customFormat="1">
      <c r="B115" s="124">
        <v>2</v>
      </c>
      <c r="C115" s="150"/>
      <c r="D115" s="124" t="s">
        <v>264</v>
      </c>
      <c r="E115" s="124" t="s">
        <v>20</v>
      </c>
      <c r="G115" s="124" t="s">
        <v>265</v>
      </c>
      <c r="H115" s="136">
        <v>392103</v>
      </c>
      <c r="I115" s="124" t="s">
        <v>266</v>
      </c>
      <c r="K115" s="154"/>
    </row>
    <row r="116" spans="1:14" s="124" customFormat="1">
      <c r="B116" s="124">
        <v>1</v>
      </c>
      <c r="C116" s="150"/>
      <c r="D116" s="124" t="s">
        <v>267</v>
      </c>
      <c r="E116" s="124" t="s">
        <v>20</v>
      </c>
      <c r="G116" s="124" t="s">
        <v>268</v>
      </c>
      <c r="H116" s="136" t="s">
        <v>269</v>
      </c>
      <c r="K116" s="154"/>
    </row>
    <row r="117" spans="1:14" s="124" customFormat="1">
      <c r="B117" s="124">
        <v>1</v>
      </c>
      <c r="C117" s="150"/>
      <c r="D117" s="124" t="s">
        <v>270</v>
      </c>
      <c r="H117" s="136">
        <v>163392</v>
      </c>
      <c r="K117" s="154"/>
    </row>
    <row r="118" spans="1:14" s="124" customFormat="1">
      <c r="C118" s="150"/>
      <c r="H118" s="136"/>
      <c r="K118" s="154"/>
    </row>
    <row r="119" spans="1:14" s="128" customFormat="1" ht="14.25">
      <c r="A119" s="128" t="s">
        <v>271</v>
      </c>
      <c r="B119" s="128">
        <v>1</v>
      </c>
      <c r="D119" s="128" t="s">
        <v>272</v>
      </c>
      <c r="E119" s="124" t="s">
        <v>20</v>
      </c>
      <c r="H119" s="133" t="s">
        <v>273</v>
      </c>
      <c r="J119" s="124"/>
      <c r="K119" s="136"/>
      <c r="L119" s="124"/>
      <c r="M119" s="124"/>
      <c r="N119" s="134"/>
    </row>
    <row r="120" spans="1:14" s="124" customFormat="1" ht="14.25">
      <c r="B120" s="124">
        <v>1</v>
      </c>
      <c r="D120" s="124" t="s">
        <v>274</v>
      </c>
      <c r="H120" s="136" t="s">
        <v>275</v>
      </c>
      <c r="K120" s="136"/>
      <c r="N120" s="134"/>
    </row>
    <row r="121" spans="1:14" s="135" customFormat="1" ht="13.45" customHeight="1">
      <c r="B121" s="135">
        <v>1</v>
      </c>
      <c r="D121" s="140" t="s">
        <v>276</v>
      </c>
      <c r="E121" s="124" t="s">
        <v>20</v>
      </c>
      <c r="F121" s="124"/>
      <c r="G121" s="138" t="s">
        <v>277</v>
      </c>
      <c r="H121" s="140" t="s">
        <v>278</v>
      </c>
      <c r="K121" s="155">
        <v>78.13</v>
      </c>
      <c r="M121" s="135">
        <v>46</v>
      </c>
    </row>
    <row r="122" spans="1:14" s="135" customFormat="1" ht="13.45" customHeight="1">
      <c r="B122" s="135">
        <v>6</v>
      </c>
      <c r="D122" s="140" t="s">
        <v>279</v>
      </c>
      <c r="E122" s="124" t="s">
        <v>20</v>
      </c>
      <c r="F122" s="124"/>
      <c r="G122" s="151"/>
      <c r="H122" s="140" t="s">
        <v>57</v>
      </c>
      <c r="K122" s="155"/>
    </row>
    <row r="123" spans="1:14" s="135" customFormat="1" ht="13.45" customHeight="1">
      <c r="B123" s="135">
        <v>1</v>
      </c>
      <c r="D123" s="140" t="s">
        <v>280</v>
      </c>
      <c r="E123" s="124" t="s">
        <v>20</v>
      </c>
      <c r="F123" s="124"/>
      <c r="G123" s="151" t="s">
        <v>281</v>
      </c>
      <c r="H123" s="140" t="s">
        <v>282</v>
      </c>
      <c r="K123" s="155"/>
    </row>
    <row r="124" spans="1:14" s="135" customFormat="1" ht="13.45" customHeight="1">
      <c r="B124" s="135">
        <v>1</v>
      </c>
      <c r="D124" s="140" t="s">
        <v>283</v>
      </c>
      <c r="E124" s="124" t="s">
        <v>20</v>
      </c>
      <c r="F124" s="124"/>
      <c r="G124" s="151" t="s">
        <v>56</v>
      </c>
      <c r="H124" s="140" t="s">
        <v>284</v>
      </c>
      <c r="K124" s="155"/>
    </row>
    <row r="125" spans="1:14" s="135" customFormat="1" ht="13.45" customHeight="1">
      <c r="B125" s="135">
        <v>1</v>
      </c>
      <c r="D125" s="140" t="s">
        <v>285</v>
      </c>
      <c r="E125" s="124" t="s">
        <v>20</v>
      </c>
      <c r="F125" s="124"/>
      <c r="G125" s="167" t="s">
        <v>286</v>
      </c>
      <c r="H125" s="140" t="s">
        <v>287</v>
      </c>
      <c r="K125" s="155"/>
    </row>
    <row r="126" spans="1:14" s="124" customFormat="1">
      <c r="B126" s="124">
        <v>2</v>
      </c>
      <c r="D126" s="124" t="s">
        <v>288</v>
      </c>
      <c r="E126" s="124" t="s">
        <v>20</v>
      </c>
      <c r="G126" s="124" t="s">
        <v>289</v>
      </c>
      <c r="H126" s="136" t="s">
        <v>290</v>
      </c>
      <c r="K126" s="136"/>
    </row>
    <row r="127" spans="1:14" s="124" customFormat="1">
      <c r="B127" s="124">
        <v>1</v>
      </c>
      <c r="D127" s="135" t="s">
        <v>291</v>
      </c>
      <c r="E127" s="124" t="s">
        <v>33</v>
      </c>
      <c r="G127" s="173" t="s">
        <v>292</v>
      </c>
      <c r="H127" s="173" t="s">
        <v>293</v>
      </c>
      <c r="I127" s="124" t="s">
        <v>294</v>
      </c>
      <c r="K127" s="136"/>
    </row>
    <row r="128" spans="1:14" s="124" customFormat="1">
      <c r="B128" s="124">
        <v>1</v>
      </c>
      <c r="D128" s="135" t="s">
        <v>291</v>
      </c>
      <c r="E128" s="124" t="s">
        <v>714</v>
      </c>
      <c r="G128" s="173"/>
      <c r="H128" s="173" t="s">
        <v>716</v>
      </c>
      <c r="I128" s="124" t="s">
        <v>715</v>
      </c>
      <c r="K128" s="136"/>
    </row>
    <row r="129" spans="1:14" s="135" customFormat="1">
      <c r="B129" s="135">
        <v>1</v>
      </c>
      <c r="C129" s="135" t="s">
        <v>46</v>
      </c>
      <c r="D129" s="135" t="s">
        <v>291</v>
      </c>
      <c r="E129" s="124" t="s">
        <v>20</v>
      </c>
      <c r="F129" s="124"/>
      <c r="G129" s="135" t="s">
        <v>295</v>
      </c>
      <c r="H129" s="142" t="s">
        <v>296</v>
      </c>
      <c r="I129" s="124" t="s">
        <v>80</v>
      </c>
      <c r="J129" s="124"/>
      <c r="K129" s="136"/>
      <c r="L129" s="124"/>
      <c r="M129" s="124">
        <v>35.71</v>
      </c>
      <c r="N129" s="124"/>
    </row>
    <row r="130" spans="1:14" s="135" customFormat="1" ht="13.5" customHeight="1">
      <c r="B130" s="135">
        <v>1</v>
      </c>
      <c r="C130" s="135" t="s">
        <v>46</v>
      </c>
      <c r="D130" s="152" t="s">
        <v>297</v>
      </c>
      <c r="E130" s="124" t="s">
        <v>20</v>
      </c>
      <c r="F130" s="124"/>
      <c r="G130" s="135" t="s">
        <v>298</v>
      </c>
      <c r="H130" s="142" t="s">
        <v>299</v>
      </c>
      <c r="I130" s="124" t="s">
        <v>294</v>
      </c>
      <c r="J130" s="124"/>
      <c r="K130" s="136"/>
      <c r="L130" s="124"/>
      <c r="M130" s="124">
        <v>30.26</v>
      </c>
      <c r="N130" s="135" t="s">
        <v>300</v>
      </c>
    </row>
    <row r="131" spans="1:14">
      <c r="D131" s="27" t="s">
        <v>301</v>
      </c>
      <c r="E131" s="27" t="s">
        <v>20</v>
      </c>
      <c r="F131" s="27"/>
      <c r="G131" s="27"/>
      <c r="N131" s="58" t="s">
        <v>302</v>
      </c>
    </row>
    <row r="132" spans="1:14">
      <c r="B132" s="135">
        <v>1</v>
      </c>
      <c r="C132" s="135" t="s">
        <v>722</v>
      </c>
      <c r="D132" s="124" t="s">
        <v>303</v>
      </c>
      <c r="E132" s="124" t="s">
        <v>20</v>
      </c>
      <c r="F132" s="124"/>
      <c r="G132" s="124" t="s">
        <v>304</v>
      </c>
      <c r="H132" s="105" t="s">
        <v>305</v>
      </c>
      <c r="I132" s="58" t="s">
        <v>306</v>
      </c>
    </row>
    <row r="133" spans="1:14" s="135" customFormat="1">
      <c r="D133" s="124"/>
      <c r="E133" s="124"/>
      <c r="F133" s="124"/>
      <c r="G133" s="164"/>
      <c r="H133" s="142"/>
      <c r="K133" s="154"/>
    </row>
    <row r="134" spans="1:14" s="135" customFormat="1" ht="14.25">
      <c r="B134" s="135">
        <v>1</v>
      </c>
      <c r="C134" s="135" t="s">
        <v>191</v>
      </c>
      <c r="D134" s="165" t="s">
        <v>307</v>
      </c>
      <c r="E134" s="124" t="s">
        <v>20</v>
      </c>
      <c r="F134" s="124"/>
      <c r="G134" s="164" t="s">
        <v>308</v>
      </c>
      <c r="H134" s="142" t="s">
        <v>309</v>
      </c>
      <c r="I134" s="135" t="s">
        <v>306</v>
      </c>
      <c r="K134" s="154">
        <v>73.09</v>
      </c>
      <c r="N134" s="166" t="s">
        <v>310</v>
      </c>
    </row>
    <row r="135" spans="1:14" s="104" customFormat="1" ht="15" customHeight="1">
      <c r="A135" s="104" t="s">
        <v>311</v>
      </c>
      <c r="D135" s="60" t="s">
        <v>312</v>
      </c>
      <c r="E135" s="60"/>
      <c r="F135" s="60"/>
      <c r="G135" s="60"/>
      <c r="H135" s="112"/>
      <c r="K135" s="112"/>
    </row>
    <row r="136" spans="1:14" s="135" customFormat="1" ht="15" customHeight="1">
      <c r="B136" s="135">
        <v>1</v>
      </c>
      <c r="C136" s="135" t="s">
        <v>313</v>
      </c>
      <c r="D136" s="124" t="s">
        <v>314</v>
      </c>
      <c r="E136" s="124" t="s">
        <v>20</v>
      </c>
      <c r="F136" s="124"/>
      <c r="G136" s="164" t="s">
        <v>315</v>
      </c>
      <c r="H136" s="142" t="s">
        <v>316</v>
      </c>
      <c r="K136" s="142"/>
      <c r="N136" s="137" t="s">
        <v>317</v>
      </c>
    </row>
    <row r="137" spans="1:14" s="124" customFormat="1" ht="15.75" customHeight="1">
      <c r="B137" s="124">
        <v>2</v>
      </c>
      <c r="D137" s="124" t="s">
        <v>318</v>
      </c>
      <c r="E137" s="124" t="s">
        <v>319</v>
      </c>
      <c r="H137" s="125" t="s">
        <v>320</v>
      </c>
      <c r="K137" s="136"/>
      <c r="N137" s="137" t="s">
        <v>321</v>
      </c>
    </row>
    <row r="138" spans="1:14">
      <c r="D138" s="27"/>
      <c r="E138" s="27"/>
      <c r="F138" s="27"/>
      <c r="G138" s="27"/>
      <c r="N138" s="27"/>
    </row>
    <row r="139" spans="1:14">
      <c r="D139" s="114" t="s">
        <v>322</v>
      </c>
      <c r="E139" s="27"/>
      <c r="F139" s="27"/>
      <c r="I139" s="27"/>
      <c r="J139" s="27"/>
      <c r="K139" s="108"/>
      <c r="L139" s="27"/>
      <c r="M139" s="27"/>
    </row>
    <row r="140" spans="1:14">
      <c r="B140" s="58">
        <v>1</v>
      </c>
      <c r="D140" s="114" t="s">
        <v>687</v>
      </c>
      <c r="E140" s="27" t="s">
        <v>688</v>
      </c>
      <c r="F140" s="27"/>
      <c r="I140" s="27"/>
      <c r="J140" s="27"/>
      <c r="K140" s="108"/>
      <c r="L140" s="27"/>
      <c r="M140" s="27"/>
      <c r="N140" s="58" t="s">
        <v>689</v>
      </c>
    </row>
    <row r="141" spans="1:14">
      <c r="C141" s="58">
        <v>1</v>
      </c>
      <c r="D141" s="114" t="s">
        <v>690</v>
      </c>
      <c r="E141" s="27" t="s">
        <v>691</v>
      </c>
      <c r="F141" s="27"/>
      <c r="G141" s="58" t="s">
        <v>692</v>
      </c>
      <c r="I141" s="27"/>
      <c r="J141" s="27"/>
      <c r="K141" s="108"/>
      <c r="L141" s="27"/>
      <c r="M141" s="27"/>
      <c r="N141" s="58" t="s">
        <v>693</v>
      </c>
    </row>
    <row r="142" spans="1:14" ht="14.25">
      <c r="A142"/>
      <c r="B142" s="58">
        <v>1</v>
      </c>
      <c r="D142" s="114" t="s">
        <v>323</v>
      </c>
      <c r="E142" s="27" t="s">
        <v>324</v>
      </c>
      <c r="F142" s="27"/>
      <c r="H142" s="105" t="s">
        <v>325</v>
      </c>
      <c r="I142" s="27"/>
      <c r="J142" s="27"/>
      <c r="K142" s="108"/>
      <c r="L142" s="27"/>
      <c r="M142" s="27"/>
    </row>
    <row r="143" spans="1:14" s="104" customFormat="1">
      <c r="H143" s="112"/>
      <c r="J143" s="58"/>
      <c r="K143" s="105"/>
      <c r="L143" s="58"/>
      <c r="M143" s="58"/>
      <c r="N143" s="58"/>
    </row>
    <row r="144" spans="1:14">
      <c r="N144" s="104"/>
    </row>
    <row r="145" spans="1:14" ht="20.25" customHeight="1">
      <c r="B145" s="58">
        <v>1</v>
      </c>
      <c r="D145" s="58" t="s">
        <v>326</v>
      </c>
      <c r="E145" s="27" t="s">
        <v>20</v>
      </c>
      <c r="G145" s="58" t="s">
        <v>327</v>
      </c>
      <c r="H145" s="105">
        <v>1003726799</v>
      </c>
      <c r="N145" s="58" t="s">
        <v>328</v>
      </c>
    </row>
    <row r="147" spans="1:14">
      <c r="B147" s="58">
        <v>1</v>
      </c>
      <c r="D147" s="58" t="s">
        <v>329</v>
      </c>
      <c r="G147" s="58" t="s">
        <v>227</v>
      </c>
      <c r="H147" s="105" t="s">
        <v>330</v>
      </c>
    </row>
    <row r="148" spans="1:14">
      <c r="B148" s="58">
        <v>1</v>
      </c>
      <c r="D148" s="58" t="s">
        <v>331</v>
      </c>
      <c r="H148" s="105" t="s">
        <v>332</v>
      </c>
      <c r="K148" s="105" cm="1">
        <f t="array" aca="1" ref="K148" ca="1">A1:K148</f>
        <v>0</v>
      </c>
    </row>
    <row r="151" spans="1:14">
      <c r="B151" s="58">
        <v>1</v>
      </c>
      <c r="D151" s="58" t="s">
        <v>333</v>
      </c>
      <c r="E151" s="58" t="s">
        <v>334</v>
      </c>
      <c r="G151" s="58" t="s">
        <v>335</v>
      </c>
    </row>
    <row r="152" spans="1:14">
      <c r="B152" s="58">
        <v>1</v>
      </c>
      <c r="D152" s="58" t="s">
        <v>336</v>
      </c>
      <c r="E152" s="58" t="s">
        <v>334</v>
      </c>
      <c r="G152" s="27" t="s">
        <v>335</v>
      </c>
    </row>
    <row r="154" spans="1:14" s="61" customFormat="1">
      <c r="A154" s="61" t="s">
        <v>642</v>
      </c>
      <c r="F154" s="58"/>
      <c r="G154" s="58"/>
      <c r="H154" s="113"/>
      <c r="J154" s="58"/>
      <c r="K154" s="105"/>
      <c r="L154" s="58"/>
      <c r="M154" s="58"/>
      <c r="N154" s="58"/>
    </row>
    <row r="155" spans="1:14">
      <c r="B155" s="58">
        <v>1</v>
      </c>
      <c r="D155" s="58" t="s">
        <v>643</v>
      </c>
      <c r="E155" s="58" t="s">
        <v>644</v>
      </c>
      <c r="F155" s="58" t="s">
        <v>160</v>
      </c>
      <c r="G155" s="58" t="s">
        <v>646</v>
      </c>
      <c r="H155" s="105" t="s">
        <v>645</v>
      </c>
      <c r="M155" s="58">
        <v>46</v>
      </c>
      <c r="N155" s="61"/>
    </row>
    <row r="156" spans="1:14">
      <c r="B156" s="58">
        <v>1</v>
      </c>
      <c r="D156" s="58" t="s">
        <v>647</v>
      </c>
      <c r="E156" s="58" t="s">
        <v>648</v>
      </c>
      <c r="F156" s="58" t="s">
        <v>649</v>
      </c>
      <c r="G156" s="58" t="s">
        <v>650</v>
      </c>
      <c r="H156" s="105" t="s">
        <v>651</v>
      </c>
    </row>
    <row r="157" spans="1:14">
      <c r="B157" s="58">
        <v>1</v>
      </c>
      <c r="D157" s="58" t="s">
        <v>652</v>
      </c>
      <c r="E157" s="58" t="s">
        <v>653</v>
      </c>
      <c r="F157" s="58" t="s">
        <v>654</v>
      </c>
      <c r="G157" s="176">
        <v>2594628</v>
      </c>
      <c r="H157" s="105" t="s">
        <v>655</v>
      </c>
    </row>
    <row r="158" spans="1:14">
      <c r="B158" s="58">
        <v>1</v>
      </c>
    </row>
    <row r="160" spans="1:14">
      <c r="A160" s="58" t="s">
        <v>661</v>
      </c>
    </row>
    <row r="161" spans="1:8">
      <c r="B161" s="58">
        <v>1</v>
      </c>
      <c r="D161" s="58" t="s">
        <v>662</v>
      </c>
      <c r="E161" s="58" t="s">
        <v>663</v>
      </c>
      <c r="F161" s="58" t="s">
        <v>654</v>
      </c>
      <c r="G161" s="58" t="s">
        <v>664</v>
      </c>
      <c r="H161" s="105">
        <v>8053330100</v>
      </c>
    </row>
    <row r="162" spans="1:8">
      <c r="D162" s="58" t="s">
        <v>665</v>
      </c>
      <c r="E162" s="58" t="s">
        <v>666</v>
      </c>
      <c r="F162" s="58" t="s">
        <v>667</v>
      </c>
    </row>
    <row r="164" spans="1:8">
      <c r="A164" s="58" t="s">
        <v>694</v>
      </c>
    </row>
    <row r="165" spans="1:8">
      <c r="B165" s="58">
        <v>1</v>
      </c>
      <c r="D165" s="58" t="s">
        <v>695</v>
      </c>
      <c r="E165" s="58" t="s">
        <v>696</v>
      </c>
      <c r="F165" s="58" t="s">
        <v>697</v>
      </c>
      <c r="G165" s="58">
        <v>644865</v>
      </c>
      <c r="H165" s="105" t="s">
        <v>698</v>
      </c>
    </row>
    <row r="166" spans="1:8">
      <c r="D166" s="58" t="s">
        <v>699</v>
      </c>
      <c r="E166" s="58" t="s">
        <v>700</v>
      </c>
      <c r="F166" s="58" t="s">
        <v>701</v>
      </c>
      <c r="G166" s="58">
        <v>19420576</v>
      </c>
      <c r="H166" s="58" t="s">
        <v>702</v>
      </c>
    </row>
    <row r="167" spans="1:8">
      <c r="B167" s="58">
        <v>1</v>
      </c>
      <c r="D167" s="58" t="s">
        <v>717</v>
      </c>
      <c r="E167" s="58" t="s">
        <v>718</v>
      </c>
      <c r="F167" s="58" t="s">
        <v>719</v>
      </c>
      <c r="G167" s="58" t="s">
        <v>720</v>
      </c>
      <c r="H167" s="105" t="s">
        <v>721</v>
      </c>
    </row>
  </sheetData>
  <phoneticPr fontId="1" type="noConversion"/>
  <hyperlinks>
    <hyperlink ref="N104" r:id="rId1" xr:uid="{00000000-0004-0000-0000-000000000000}"/>
    <hyperlink ref="N9" r:id="rId2" xr:uid="{00000000-0004-0000-0000-000001000000}"/>
    <hyperlink ref="N95" r:id="rId3" xr:uid="{00000000-0004-0000-0000-000002000000}"/>
    <hyperlink ref="N98" r:id="rId4" xr:uid="{00000000-0004-0000-0000-000003000000}"/>
    <hyperlink ref="N99" r:id="rId5" xr:uid="{00000000-0004-0000-0000-000004000000}"/>
    <hyperlink ref="N12" r:id="rId6" xr:uid="{00000000-0004-0000-0000-000005000000}"/>
    <hyperlink ref="N17" r:id="rId7" xr:uid="{00000000-0004-0000-0000-000006000000}"/>
    <hyperlink ref="N22" r:id="rId8" xr:uid="{00000000-0004-0000-0000-000007000000}"/>
    <hyperlink ref="N3" r:id="rId9" xr:uid="{00000000-0004-0000-0000-000008000000}"/>
    <hyperlink ref="N136" r:id="rId10" xr:uid="{00000000-0004-0000-0000-000009000000}"/>
    <hyperlink ref="N51" r:id="rId11" xr:uid="{00000000-0004-0000-0000-00000A000000}"/>
    <hyperlink ref="N96" r:id="rId12" xr:uid="{00000000-0004-0000-0000-00000B000000}"/>
    <hyperlink ref="N103" r:id="rId13" xr:uid="{00000000-0004-0000-0000-00000C000000}"/>
    <hyperlink ref="N18" r:id="rId14" xr:uid="{00000000-0004-0000-0000-00000D000000}"/>
    <hyperlink ref="N137" r:id="rId15" xr:uid="{00000000-0004-0000-0000-00000E000000}"/>
    <hyperlink ref="N19" r:id="rId16" xr:uid="{00000000-0004-0000-0000-00000F000000}"/>
    <hyperlink ref="N100" r:id="rId17" xr:uid="{00000000-0004-0000-0000-000010000000}"/>
    <hyperlink ref="N101" display="https://www.sigmaaldrich.com/US/en/search/4%2C4%E2%80%B2-azobis(4-cyanovaleric-acid)?dym=2%2C2%27-azobis%5B2-methyl-N-%28hydroxy%20ethyl%29propanamide%5D%2C2%2C2%27-azobis%5B2-methyl-N-%28hydroxy%20ethyl%29propionamide%5D%2C2%2C2%27-azobis%5B2-methyl-N-%2" xr:uid="{00000000-0004-0000-0000-000011000000}"/>
    <hyperlink ref="N16" r:id="rId18" xr:uid="{00000000-0004-0000-0000-000012000000}"/>
    <hyperlink ref="N11" r:id="rId19" xr:uid="{00000000-0004-0000-0000-000013000000}"/>
    <hyperlink ref="N6" r:id="rId20" xr:uid="{00000000-0004-0000-0000-000014000000}"/>
    <hyperlink ref="N5" r:id="rId21" xr:uid="{00000000-0004-0000-0000-000015000000}"/>
    <hyperlink ref="N86" r:id="rId22" xr:uid="{00000000-0004-0000-0000-000016000000}"/>
    <hyperlink ref="N82" r:id="rId23" xr:uid="{00000000-0004-0000-0000-000017000000}"/>
    <hyperlink ref="N89" r:id="rId24" xr:uid="{00000000-0004-0000-0000-000018000000}"/>
    <hyperlink ref="N26" r:id="rId25" xr:uid="{00000000-0004-0000-0000-000019000000}"/>
    <hyperlink ref="G36" r:id="rId26" display="https://www.sigmaaldrich.com/US/en/search/144-55-8?focus=products&amp;page=1&amp;perpage=30&amp;sort=relevance&amp;term=144-55-8&amp;type=cas_number" xr:uid="{5169B3A9-0E1C-4942-8CB5-1EB189CBE3D5}"/>
    <hyperlink ref="H35" r:id="rId27" location="CITRIC%20ACID%20250G" display="https://www.fishersci.com/shop/products/citric-acid-99-thermo-scientific/AAA1039530 - CITRIC%20ACID%20250G" xr:uid="{9181629A-6EE9-478F-957A-738EA3FC63A0}"/>
    <hyperlink ref="H46" r:id="rId28" location="EDTA%20DISODIUM%20SALT%20500G" display="https://www.fishersci.com/shop/products/ethylenediaminetetraacetic-acid-disodium-salt-dihydrate-reagent-fisher-chemical/O2793500 - EDTA%20DISODIUM%20SALT%20500G" xr:uid="{1CD5E7CD-A9D9-47AD-BEAD-FEAAE4839E68}"/>
  </hyperlinks>
  <pageMargins left="0.7" right="0.7" top="0.75" bottom="0.75" header="0.3" footer="0.3"/>
  <pageSetup orientation="portrait" r:id="rId2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D121"/>
  <sheetViews>
    <sheetView topLeftCell="A36" zoomScale="85" zoomScaleNormal="85" workbookViewId="0">
      <selection activeCell="C19" sqref="C19"/>
    </sheetView>
  </sheetViews>
  <sheetFormatPr defaultColWidth="34.46484375" defaultRowHeight="13.5"/>
  <cols>
    <col min="1" max="1" width="35.46484375" style="4" customWidth="1"/>
    <col min="2" max="2" width="36.46484375" style="4" customWidth="1"/>
    <col min="3" max="3" width="48" style="4" customWidth="1"/>
    <col min="4" max="4" width="44.46484375" style="4" customWidth="1"/>
    <col min="5" max="5" width="12.46484375" style="69" customWidth="1"/>
    <col min="6" max="6" width="13.06640625" style="4" customWidth="1"/>
    <col min="7" max="7" width="11.06640625" style="4" customWidth="1"/>
    <col min="8" max="8" width="11.33203125" style="4" customWidth="1"/>
    <col min="9" max="9" width="12.46484375" style="4" customWidth="1"/>
    <col min="10" max="16384" width="34.46484375" style="4"/>
  </cols>
  <sheetData>
    <row r="1" spans="1:82" ht="13.9">
      <c r="A1" s="10"/>
      <c r="B1" s="10"/>
    </row>
    <row r="2" spans="1:82" ht="13.5" customHeight="1">
      <c r="A2" s="10"/>
      <c r="B2" s="46"/>
      <c r="C2" s="46"/>
      <c r="D2" s="46"/>
    </row>
    <row r="3" spans="1:82" s="5" customFormat="1" ht="13.9">
      <c r="A3" s="18" t="s">
        <v>337</v>
      </c>
      <c r="B3" s="5" t="s">
        <v>338</v>
      </c>
      <c r="C3" s="23" t="s">
        <v>339</v>
      </c>
      <c r="D3" s="18"/>
      <c r="E3" s="7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</row>
    <row r="4" spans="1:82" ht="13.9">
      <c r="A4" s="10"/>
      <c r="C4" s="22" t="s">
        <v>340</v>
      </c>
      <c r="D4" s="46"/>
    </row>
    <row r="5" spans="1:82" ht="13.9">
      <c r="A5" s="10"/>
      <c r="C5" s="22" t="s">
        <v>341</v>
      </c>
      <c r="D5" s="46"/>
    </row>
    <row r="6" spans="1:82" ht="13.9">
      <c r="A6" s="10"/>
      <c r="C6" s="46" t="s">
        <v>342</v>
      </c>
      <c r="D6" s="46"/>
    </row>
    <row r="7" spans="1:82" ht="13.9">
      <c r="A7" s="10"/>
      <c r="C7" s="46" t="s">
        <v>343</v>
      </c>
      <c r="D7" s="46"/>
    </row>
    <row r="8" spans="1:82" s="19" customFormat="1" ht="18" customHeight="1">
      <c r="B8" s="19" t="s">
        <v>344</v>
      </c>
      <c r="C8" s="19" t="s">
        <v>345</v>
      </c>
      <c r="D8" s="24"/>
      <c r="E8" s="71"/>
      <c r="F8" s="15"/>
      <c r="G8" s="15"/>
      <c r="H8" s="1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</row>
    <row r="9" spans="1:82" ht="18" customHeight="1">
      <c r="D9" s="14"/>
      <c r="F9" s="12"/>
      <c r="G9" s="12"/>
      <c r="H9" s="12"/>
    </row>
    <row r="10" spans="1:82" ht="13.9">
      <c r="E10" s="72" t="s">
        <v>10</v>
      </c>
      <c r="F10" s="12"/>
      <c r="G10" s="12"/>
      <c r="H10" s="12"/>
    </row>
    <row r="11" spans="1:82" ht="13.9">
      <c r="A11" s="10" t="s">
        <v>346</v>
      </c>
      <c r="F11" s="4" t="s">
        <v>347</v>
      </c>
      <c r="H11" s="4" t="s">
        <v>347</v>
      </c>
    </row>
    <row r="12" spans="1:82" ht="13.9">
      <c r="A12" s="25" t="s">
        <v>348</v>
      </c>
      <c r="B12" s="26" t="s">
        <v>349</v>
      </c>
      <c r="C12" s="45" t="s">
        <v>350</v>
      </c>
      <c r="D12" s="18" t="s">
        <v>351</v>
      </c>
      <c r="E12" s="70" t="s">
        <v>352</v>
      </c>
      <c r="F12" s="5" t="s">
        <v>353</v>
      </c>
      <c r="G12" s="5" t="s">
        <v>354</v>
      </c>
      <c r="H12" s="5" t="s">
        <v>353</v>
      </c>
    </row>
    <row r="13" spans="1:82" s="5" customFormat="1" ht="13.9">
      <c r="A13" s="13" t="s">
        <v>355</v>
      </c>
      <c r="B13" s="9" t="s">
        <v>356</v>
      </c>
      <c r="C13" s="5" t="s">
        <v>357</v>
      </c>
      <c r="D13" s="4" t="s">
        <v>358</v>
      </c>
      <c r="E13" s="69">
        <v>20000</v>
      </c>
      <c r="F13" s="12">
        <f>100*(E13/$E$106)</f>
        <v>3.3248096297126271</v>
      </c>
      <c r="G13" s="12"/>
      <c r="H13" s="12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</row>
    <row r="14" spans="1:82" s="89" customFormat="1" ht="13.5" customHeight="1">
      <c r="B14" s="90" t="s">
        <v>359</v>
      </c>
      <c r="C14" s="90" t="s">
        <v>360</v>
      </c>
      <c r="D14" s="89" t="s">
        <v>361</v>
      </c>
      <c r="E14" s="89">
        <v>85000</v>
      </c>
      <c r="F14" s="12">
        <f>100*(E14/$E$106)</f>
        <v>14.130440926278665</v>
      </c>
      <c r="G14" s="91"/>
      <c r="H14" s="91"/>
    </row>
    <row r="15" spans="1:82">
      <c r="B15" s="6" t="s">
        <v>362</v>
      </c>
      <c r="C15" s="8" t="s">
        <v>363</v>
      </c>
      <c r="D15" s="4" t="s">
        <v>364</v>
      </c>
      <c r="E15" s="69">
        <v>20000</v>
      </c>
      <c r="F15" s="12">
        <f t="shared" ref="F15:F53" si="0">100*(E15/$E$106)</f>
        <v>3.3248096297126271</v>
      </c>
      <c r="G15" s="12"/>
      <c r="H15" s="12"/>
    </row>
    <row r="16" spans="1:82">
      <c r="B16" s="6" t="s">
        <v>365</v>
      </c>
      <c r="C16" s="8" t="s">
        <v>366</v>
      </c>
      <c r="D16" s="4" t="s">
        <v>367</v>
      </c>
      <c r="E16" s="69">
        <v>18000</v>
      </c>
      <c r="F16" s="12">
        <f t="shared" si="0"/>
        <v>2.992328666741364</v>
      </c>
      <c r="G16" s="12"/>
      <c r="H16" s="12"/>
    </row>
    <row r="17" spans="1:82" ht="14.25" customHeight="1">
      <c r="A17" s="3"/>
      <c r="B17" s="6" t="s">
        <v>368</v>
      </c>
      <c r="C17" s="8" t="s">
        <v>369</v>
      </c>
      <c r="D17" s="4" t="s">
        <v>370</v>
      </c>
      <c r="E17" s="69">
        <v>350</v>
      </c>
      <c r="F17" s="12">
        <f t="shared" si="0"/>
        <v>5.818416851997097E-2</v>
      </c>
      <c r="G17" s="12"/>
      <c r="H17" s="12"/>
    </row>
    <row r="18" spans="1:82" ht="14.25" customHeight="1">
      <c r="A18" s="3"/>
      <c r="B18" s="6" t="s">
        <v>371</v>
      </c>
      <c r="C18" s="8" t="s">
        <v>372</v>
      </c>
      <c r="D18" s="4" t="s">
        <v>373</v>
      </c>
      <c r="E18" s="69">
        <v>2000</v>
      </c>
      <c r="F18" s="12">
        <f t="shared" si="0"/>
        <v>0.33248096297126267</v>
      </c>
      <c r="G18" s="12"/>
      <c r="H18" s="12"/>
    </row>
    <row r="19" spans="1:82" ht="15" customHeight="1">
      <c r="A19" s="3"/>
      <c r="B19" s="6" t="s">
        <v>374</v>
      </c>
      <c r="C19" s="6" t="s">
        <v>375</v>
      </c>
      <c r="D19" s="4" t="s">
        <v>376</v>
      </c>
      <c r="E19" s="69">
        <v>400</v>
      </c>
      <c r="F19" s="12">
        <f t="shared" si="0"/>
        <v>6.6496192594252546E-2</v>
      </c>
      <c r="G19" s="12"/>
      <c r="H19" s="12"/>
    </row>
    <row r="20" spans="1:82">
      <c r="B20" s="4" t="s">
        <v>377</v>
      </c>
      <c r="C20" s="4" t="s">
        <v>378</v>
      </c>
      <c r="D20" s="4" t="s">
        <v>379</v>
      </c>
      <c r="E20" s="69">
        <v>6000</v>
      </c>
      <c r="F20" s="12">
        <f t="shared" si="0"/>
        <v>0.99744288891378796</v>
      </c>
      <c r="G20" s="12"/>
      <c r="H20" s="12"/>
    </row>
    <row r="21" spans="1:82">
      <c r="B21" s="6" t="s">
        <v>380</v>
      </c>
      <c r="C21" s="4" t="s">
        <v>381</v>
      </c>
      <c r="D21" s="4" t="s">
        <v>382</v>
      </c>
      <c r="E21" s="69">
        <v>1000</v>
      </c>
      <c r="F21" s="12">
        <f t="shared" si="0"/>
        <v>0.16624048148563134</v>
      </c>
      <c r="G21" s="12"/>
      <c r="H21" s="12"/>
    </row>
    <row r="22" spans="1:82">
      <c r="B22" s="6" t="s">
        <v>383</v>
      </c>
      <c r="C22" s="4" t="s">
        <v>384</v>
      </c>
      <c r="D22" s="4" t="s">
        <v>385</v>
      </c>
      <c r="E22" s="69">
        <v>600</v>
      </c>
      <c r="F22" s="12">
        <f t="shared" si="0"/>
        <v>9.9744288891378818E-2</v>
      </c>
      <c r="G22" s="12"/>
      <c r="H22" s="12"/>
    </row>
    <row r="23" spans="1:82" ht="13.5" customHeight="1">
      <c r="B23" s="6" t="s">
        <v>386</v>
      </c>
      <c r="C23" s="4" t="s">
        <v>387</v>
      </c>
      <c r="D23" s="4" t="s">
        <v>388</v>
      </c>
      <c r="E23" s="69">
        <v>3200</v>
      </c>
      <c r="F23" s="12">
        <f t="shared" si="0"/>
        <v>0.53196954075402036</v>
      </c>
      <c r="G23" s="12"/>
      <c r="H23" s="12"/>
    </row>
    <row r="24" spans="1:82">
      <c r="B24" s="6" t="s">
        <v>389</v>
      </c>
      <c r="C24" s="4" t="s">
        <v>390</v>
      </c>
      <c r="D24" s="4" t="s">
        <v>391</v>
      </c>
      <c r="E24" s="69">
        <v>4000</v>
      </c>
      <c r="F24" s="12">
        <f t="shared" si="0"/>
        <v>0.66496192594252534</v>
      </c>
      <c r="G24" s="15">
        <f>SUM(E13:E24)</f>
        <v>160550</v>
      </c>
      <c r="H24" s="15">
        <f>100*(G24/$E$106)</f>
        <v>26.68990930251811</v>
      </c>
    </row>
    <row r="25" spans="1:82" s="5" customFormat="1" ht="13.5" customHeight="1">
      <c r="A25" s="13" t="s">
        <v>392</v>
      </c>
      <c r="B25" s="9" t="s">
        <v>393</v>
      </c>
      <c r="C25" s="9" t="s">
        <v>394</v>
      </c>
      <c r="D25" s="9" t="s">
        <v>395</v>
      </c>
      <c r="E25" s="74">
        <v>4500</v>
      </c>
      <c r="F25" s="11">
        <f t="shared" si="0"/>
        <v>0.748082166685341</v>
      </c>
      <c r="G25" s="12"/>
      <c r="H25" s="12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</row>
    <row r="26" spans="1:82" ht="13.5" customHeight="1">
      <c r="A26" s="3"/>
      <c r="B26" s="6" t="s">
        <v>396</v>
      </c>
      <c r="C26" s="6" t="s">
        <v>397</v>
      </c>
      <c r="D26" s="6" t="s">
        <v>398</v>
      </c>
      <c r="E26" s="75">
        <v>2400</v>
      </c>
      <c r="F26" s="12">
        <f t="shared" si="0"/>
        <v>0.39897715556551527</v>
      </c>
      <c r="G26" s="12"/>
      <c r="H26" s="12"/>
    </row>
    <row r="27" spans="1:82">
      <c r="B27" s="6" t="s">
        <v>399</v>
      </c>
      <c r="C27" s="6" t="s">
        <v>400</v>
      </c>
      <c r="D27" s="6" t="s">
        <v>401</v>
      </c>
      <c r="E27" s="75">
        <v>6000</v>
      </c>
      <c r="F27" s="12">
        <f t="shared" si="0"/>
        <v>0.99744288891378796</v>
      </c>
      <c r="G27" s="12"/>
      <c r="H27" s="12"/>
    </row>
    <row r="28" spans="1:82">
      <c r="B28" s="6" t="s">
        <v>402</v>
      </c>
      <c r="C28" s="6" t="s">
        <v>403</v>
      </c>
      <c r="D28" s="6" t="s">
        <v>404</v>
      </c>
      <c r="E28" s="75">
        <v>16000</v>
      </c>
      <c r="F28" s="12">
        <f t="shared" si="0"/>
        <v>2.6598477037701014</v>
      </c>
      <c r="G28" s="12"/>
      <c r="H28" s="12"/>
    </row>
    <row r="29" spans="1:82">
      <c r="B29" s="4" t="s">
        <v>405</v>
      </c>
      <c r="C29" s="8" t="s">
        <v>406</v>
      </c>
      <c r="D29" s="6" t="s">
        <v>407</v>
      </c>
      <c r="E29" s="75">
        <v>2500</v>
      </c>
      <c r="F29" s="12">
        <f t="shared" si="0"/>
        <v>0.41560120371407838</v>
      </c>
    </row>
    <row r="30" spans="1:82">
      <c r="B30" s="4" t="s">
        <v>408</v>
      </c>
      <c r="C30" s="8" t="s">
        <v>409</v>
      </c>
      <c r="D30" s="6" t="s">
        <v>407</v>
      </c>
      <c r="E30" s="75">
        <v>3500</v>
      </c>
      <c r="F30" s="12">
        <f t="shared" si="0"/>
        <v>0.58184168519970969</v>
      </c>
    </row>
    <row r="31" spans="1:82" ht="15" customHeight="1">
      <c r="B31" s="6" t="s">
        <v>410</v>
      </c>
      <c r="C31" s="6" t="s">
        <v>411</v>
      </c>
      <c r="D31" s="6" t="s">
        <v>412</v>
      </c>
      <c r="E31" s="75">
        <v>380</v>
      </c>
      <c r="F31" s="12">
        <f t="shared" si="0"/>
        <v>6.3171382964539918E-2</v>
      </c>
      <c r="G31" s="12"/>
      <c r="H31" s="12"/>
    </row>
    <row r="32" spans="1:82" ht="13.5" customHeight="1">
      <c r="B32" s="6" t="s">
        <v>413</v>
      </c>
      <c r="C32" s="6" t="s">
        <v>414</v>
      </c>
      <c r="D32" s="6" t="s">
        <v>415</v>
      </c>
      <c r="E32" s="75">
        <v>3000</v>
      </c>
      <c r="F32" s="12">
        <f t="shared" si="0"/>
        <v>0.49872144445689398</v>
      </c>
      <c r="G32" s="12"/>
      <c r="H32" s="12"/>
    </row>
    <row r="33" spans="1:82">
      <c r="B33" s="4" t="s">
        <v>416</v>
      </c>
      <c r="C33" s="8" t="s">
        <v>417</v>
      </c>
      <c r="D33" s="6" t="s">
        <v>418</v>
      </c>
      <c r="E33" s="75">
        <v>6000</v>
      </c>
      <c r="F33" s="12">
        <f t="shared" si="0"/>
        <v>0.99744288891378796</v>
      </c>
      <c r="G33" s="12"/>
      <c r="H33" s="12"/>
    </row>
    <row r="34" spans="1:82">
      <c r="B34" s="4" t="s">
        <v>419</v>
      </c>
      <c r="C34" s="4" t="s">
        <v>420</v>
      </c>
      <c r="D34" s="4" t="s">
        <v>421</v>
      </c>
      <c r="E34" s="69">
        <v>4000</v>
      </c>
      <c r="F34" s="15">
        <f t="shared" si="0"/>
        <v>0.66496192594252534</v>
      </c>
      <c r="G34" s="15">
        <f>SUM(E25:E34)</f>
        <v>48280</v>
      </c>
      <c r="H34" s="15">
        <f>100*(G34/$E$106)</f>
        <v>8.0260904461262808</v>
      </c>
    </row>
    <row r="35" spans="1:82" s="5" customFormat="1" ht="13.9">
      <c r="A35" s="13" t="s">
        <v>422</v>
      </c>
      <c r="B35" s="5" t="s">
        <v>423</v>
      </c>
      <c r="C35" s="5" t="s">
        <v>424</v>
      </c>
      <c r="D35" s="9" t="s">
        <v>425</v>
      </c>
      <c r="E35" s="76">
        <v>65000</v>
      </c>
      <c r="F35" s="12">
        <f t="shared" si="0"/>
        <v>10.805631296566037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</row>
    <row r="36" spans="1:82">
      <c r="B36" s="6" t="s">
        <v>426</v>
      </c>
      <c r="C36" s="14" t="s">
        <v>427</v>
      </c>
      <c r="D36" s="6" t="s">
        <v>428</v>
      </c>
      <c r="E36" s="77">
        <v>53000</v>
      </c>
      <c r="F36" s="12">
        <f t="shared" si="0"/>
        <v>8.8107455187384609</v>
      </c>
    </row>
    <row r="37" spans="1:82">
      <c r="B37" s="6" t="s">
        <v>429</v>
      </c>
      <c r="C37" s="6"/>
      <c r="D37" s="6" t="s">
        <v>430</v>
      </c>
      <c r="E37" s="75">
        <v>21000</v>
      </c>
      <c r="F37" s="12">
        <f t="shared" si="0"/>
        <v>3.4910501111982586</v>
      </c>
      <c r="G37" s="12"/>
      <c r="H37" s="12"/>
    </row>
    <row r="38" spans="1:82" s="19" customFormat="1">
      <c r="B38" s="19" t="s">
        <v>431</v>
      </c>
      <c r="C38" s="19" t="s">
        <v>432</v>
      </c>
      <c r="D38" s="47" t="s">
        <v>433</v>
      </c>
      <c r="E38" s="78">
        <v>400</v>
      </c>
      <c r="F38" s="15">
        <f t="shared" si="0"/>
        <v>6.6496192594252546E-2</v>
      </c>
      <c r="G38" s="15">
        <f>SUM(E35:E38)</f>
        <v>139400</v>
      </c>
      <c r="H38" s="15">
        <f>100*(G38/$E$106)</f>
        <v>23.173923119097008</v>
      </c>
    </row>
    <row r="39" spans="1:82" ht="14.25">
      <c r="A39" s="3" t="s">
        <v>434</v>
      </c>
      <c r="B39" s="48" t="s">
        <v>435</v>
      </c>
      <c r="C39" s="49" t="s">
        <v>436</v>
      </c>
      <c r="D39" s="50"/>
      <c r="E39" s="79">
        <v>6000</v>
      </c>
      <c r="F39" s="51">
        <f t="shared" si="0"/>
        <v>0.99744288891378796</v>
      </c>
      <c r="G39" s="51"/>
      <c r="H39" s="12"/>
    </row>
    <row r="40" spans="1:82" s="20" customFormat="1" ht="14.25">
      <c r="A40" s="3" t="s">
        <v>437</v>
      </c>
      <c r="B40" s="52" t="s">
        <v>438</v>
      </c>
      <c r="C40" s="48" t="s">
        <v>439</v>
      </c>
      <c r="D40" s="53" t="s">
        <v>440</v>
      </c>
      <c r="E40" s="80">
        <v>6000</v>
      </c>
      <c r="F40" s="51">
        <f t="shared" si="0"/>
        <v>0.99744288891378796</v>
      </c>
      <c r="G40" s="53"/>
    </row>
    <row r="41" spans="1:82" s="98" customFormat="1" ht="13.9">
      <c r="B41" s="99" t="s">
        <v>441</v>
      </c>
      <c r="C41" s="100"/>
      <c r="D41" s="101"/>
      <c r="F41" s="102">
        <f>100*(I41/$E$106)</f>
        <v>6.6496192594252541</v>
      </c>
      <c r="G41" s="101"/>
      <c r="I41" s="81">
        <v>40000</v>
      </c>
    </row>
    <row r="42" spans="1:82">
      <c r="B42" s="21" t="s">
        <v>442</v>
      </c>
      <c r="C42" s="6" t="s">
        <v>443</v>
      </c>
      <c r="D42" s="6" t="s">
        <v>444</v>
      </c>
      <c r="E42" s="75">
        <v>200</v>
      </c>
      <c r="F42" s="12">
        <f t="shared" si="0"/>
        <v>3.3248096297126273E-2</v>
      </c>
      <c r="G42" s="15">
        <f>SUM(E39:E42)</f>
        <v>12200</v>
      </c>
      <c r="H42" s="15">
        <f>100*(G42/$E$106)</f>
        <v>2.0281338741247024</v>
      </c>
    </row>
    <row r="43" spans="1:82" s="5" customFormat="1" ht="13.9">
      <c r="A43" s="13" t="s">
        <v>445</v>
      </c>
      <c r="B43" s="5" t="s">
        <v>446</v>
      </c>
      <c r="E43" s="70">
        <v>1500</v>
      </c>
      <c r="F43" s="11">
        <f t="shared" si="0"/>
        <v>0.24936072222844699</v>
      </c>
      <c r="G43" s="12"/>
      <c r="H43" s="12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</row>
    <row r="44" spans="1:82" ht="13.5" customHeight="1">
      <c r="A44" s="3" t="s">
        <v>447</v>
      </c>
      <c r="B44" s="4" t="s">
        <v>448</v>
      </c>
      <c r="C44" s="4" t="s">
        <v>449</v>
      </c>
      <c r="E44" s="69">
        <f>300*17.45</f>
        <v>5235</v>
      </c>
      <c r="F44" s="12">
        <f t="shared" si="0"/>
        <v>0.87026892057728011</v>
      </c>
      <c r="G44" s="12"/>
      <c r="H44" s="12"/>
    </row>
    <row r="45" spans="1:82" ht="13.5" customHeight="1">
      <c r="A45" s="3"/>
      <c r="B45" s="4" t="s">
        <v>450</v>
      </c>
      <c r="C45" s="4" t="s">
        <v>451</v>
      </c>
      <c r="E45" s="69">
        <f>200*13.1</f>
        <v>2620</v>
      </c>
      <c r="F45" s="12">
        <f t="shared" si="0"/>
        <v>0.4355500614923542</v>
      </c>
      <c r="G45" s="12"/>
      <c r="H45" s="12"/>
    </row>
    <row r="46" spans="1:82" ht="13.5" customHeight="1">
      <c r="A46" s="3"/>
      <c r="B46" s="4" t="s">
        <v>452</v>
      </c>
      <c r="C46" s="4" t="s">
        <v>453</v>
      </c>
      <c r="E46" s="69">
        <f>400*17.7</f>
        <v>7080</v>
      </c>
      <c r="F46" s="12">
        <f t="shared" si="0"/>
        <v>1.17698260891827</v>
      </c>
      <c r="G46" s="12"/>
      <c r="H46" s="12"/>
    </row>
    <row r="47" spans="1:82" ht="13.5" customHeight="1">
      <c r="A47" s="3"/>
      <c r="B47" s="4" t="s">
        <v>454</v>
      </c>
      <c r="C47" s="4" t="s">
        <v>455</v>
      </c>
      <c r="E47" s="69">
        <f>100*17.7</f>
        <v>1770</v>
      </c>
      <c r="F47" s="12">
        <f t="shared" si="0"/>
        <v>0.2942456522295675</v>
      </c>
      <c r="G47" s="12"/>
      <c r="H47" s="12"/>
    </row>
    <row r="48" spans="1:82" ht="13.5" customHeight="1">
      <c r="A48" s="3"/>
      <c r="B48" s="4" t="s">
        <v>456</v>
      </c>
      <c r="C48" s="4" t="s">
        <v>455</v>
      </c>
      <c r="E48" s="69">
        <f>100*17.45</f>
        <v>1745</v>
      </c>
      <c r="F48" s="12">
        <f t="shared" si="0"/>
        <v>0.29008964019242667</v>
      </c>
      <c r="G48" s="12"/>
      <c r="H48" s="12"/>
    </row>
    <row r="49" spans="1:82" ht="13.5" customHeight="1">
      <c r="A49" s="3"/>
      <c r="B49" s="4" t="s">
        <v>457</v>
      </c>
      <c r="C49" s="4" t="s">
        <v>458</v>
      </c>
      <c r="E49" s="69">
        <f>60*17.45</f>
        <v>1047</v>
      </c>
      <c r="F49" s="12">
        <f t="shared" si="0"/>
        <v>0.17405378411545602</v>
      </c>
      <c r="G49" s="12"/>
      <c r="H49" s="12"/>
    </row>
    <row r="50" spans="1:82" ht="13.5" customHeight="1">
      <c r="A50" s="3"/>
      <c r="B50" s="21" t="s">
        <v>459</v>
      </c>
      <c r="C50" s="4" t="s">
        <v>458</v>
      </c>
      <c r="E50" s="69">
        <f>60*17.45</f>
        <v>1047</v>
      </c>
      <c r="F50" s="12">
        <f t="shared" si="0"/>
        <v>0.17405378411545602</v>
      </c>
      <c r="G50" s="12"/>
      <c r="H50" s="12"/>
    </row>
    <row r="51" spans="1:82" ht="13.5" customHeight="1">
      <c r="A51" s="3"/>
      <c r="B51" s="21" t="s">
        <v>460</v>
      </c>
      <c r="C51" s="4" t="s">
        <v>458</v>
      </c>
      <c r="E51" s="69">
        <f>60*18.57</f>
        <v>1114.2</v>
      </c>
      <c r="F51" s="12">
        <f t="shared" si="0"/>
        <v>0.18522514447129046</v>
      </c>
      <c r="G51" s="12"/>
      <c r="H51" s="12"/>
    </row>
    <row r="52" spans="1:82" ht="13.5" customHeight="1">
      <c r="A52" s="3"/>
      <c r="B52" s="21" t="s">
        <v>461</v>
      </c>
      <c r="C52" s="4" t="s">
        <v>455</v>
      </c>
      <c r="E52" s="69">
        <f>100*41.1</f>
        <v>4110</v>
      </c>
      <c r="F52" s="12">
        <f t="shared" si="0"/>
        <v>0.68324837890594481</v>
      </c>
      <c r="G52" s="12"/>
      <c r="H52" s="12"/>
    </row>
    <row r="53" spans="1:82">
      <c r="B53" s="4" t="s">
        <v>462</v>
      </c>
      <c r="C53" s="4" t="s">
        <v>451</v>
      </c>
      <c r="E53" s="69">
        <f>200*41.1</f>
        <v>8220</v>
      </c>
      <c r="F53" s="12">
        <f t="shared" si="0"/>
        <v>1.3664967578118896</v>
      </c>
    </row>
    <row r="54" spans="1:82">
      <c r="B54" s="4" t="s">
        <v>463</v>
      </c>
      <c r="C54" s="4" t="s">
        <v>449</v>
      </c>
      <c r="E54" s="69" t="s">
        <v>464</v>
      </c>
      <c r="F54" s="12" t="s">
        <v>464</v>
      </c>
      <c r="G54" s="15">
        <f>SUM(E43:E53)</f>
        <v>35488.199999999997</v>
      </c>
      <c r="H54" s="15">
        <f>100*(G54/$E$106)</f>
        <v>5.8995754550583817</v>
      </c>
    </row>
    <row r="55" spans="1:82" s="5" customFormat="1" ht="13.9">
      <c r="A55" s="13" t="s">
        <v>465</v>
      </c>
      <c r="B55" s="5" t="s">
        <v>466</v>
      </c>
      <c r="E55" s="70">
        <v>2000</v>
      </c>
      <c r="F55" s="11">
        <f t="shared" ref="F55:F60" si="1">100*(E55/$E$106)</f>
        <v>0.33248096297126267</v>
      </c>
      <c r="G55" s="12"/>
      <c r="H55" s="12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</row>
    <row r="56" spans="1:82" ht="13.9">
      <c r="A56" s="3" t="s">
        <v>467</v>
      </c>
      <c r="B56" s="4" t="s">
        <v>468</v>
      </c>
      <c r="E56" s="69">
        <v>1500</v>
      </c>
      <c r="F56" s="12">
        <f t="shared" si="1"/>
        <v>0.24936072222844699</v>
      </c>
      <c r="G56" s="15">
        <f>SUM(E55:E56)</f>
        <v>3500</v>
      </c>
      <c r="H56" s="15">
        <f>100*(G56/$E$106)</f>
        <v>0.58184168519970969</v>
      </c>
    </row>
    <row r="57" spans="1:82" s="5" customFormat="1" ht="13.9">
      <c r="A57" s="13" t="s">
        <v>469</v>
      </c>
      <c r="B57" s="5" t="s">
        <v>470</v>
      </c>
      <c r="C57" s="5" t="s">
        <v>471</v>
      </c>
      <c r="D57" s="5" t="s">
        <v>472</v>
      </c>
      <c r="E57" s="70">
        <v>2800</v>
      </c>
      <c r="F57" s="11">
        <f t="shared" si="1"/>
        <v>0.46547334815976776</v>
      </c>
      <c r="G57" s="12"/>
      <c r="H57" s="12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</row>
    <row r="58" spans="1:82" ht="14.25" customHeight="1">
      <c r="A58" s="3" t="s">
        <v>473</v>
      </c>
      <c r="B58" s="4" t="s">
        <v>474</v>
      </c>
      <c r="C58" s="8" t="s">
        <v>475</v>
      </c>
      <c r="D58" s="4" t="s">
        <v>476</v>
      </c>
      <c r="E58" s="69">
        <v>1400</v>
      </c>
      <c r="F58" s="12">
        <f t="shared" si="1"/>
        <v>0.23273667407988388</v>
      </c>
      <c r="G58" s="12"/>
      <c r="H58" s="12"/>
    </row>
    <row r="59" spans="1:82">
      <c r="B59" s="4" t="s">
        <v>477</v>
      </c>
      <c r="C59" s="4" t="s">
        <v>478</v>
      </c>
      <c r="D59" s="6" t="s">
        <v>479</v>
      </c>
      <c r="E59" s="69">
        <v>680</v>
      </c>
      <c r="F59" s="12">
        <f t="shared" si="1"/>
        <v>0.11304352741022931</v>
      </c>
    </row>
    <row r="60" spans="1:82">
      <c r="B60" s="6" t="s">
        <v>480</v>
      </c>
      <c r="C60" s="6" t="s">
        <v>481</v>
      </c>
      <c r="D60" s="6" t="s">
        <v>482</v>
      </c>
      <c r="E60" s="75">
        <v>140</v>
      </c>
      <c r="F60" s="12">
        <f t="shared" si="1"/>
        <v>2.3273667407988387E-2</v>
      </c>
      <c r="G60" s="12"/>
      <c r="H60" s="12"/>
    </row>
    <row r="61" spans="1:82">
      <c r="B61" s="6" t="s">
        <v>483</v>
      </c>
      <c r="C61" s="6" t="s">
        <v>484</v>
      </c>
      <c r="D61" s="22" t="s">
        <v>485</v>
      </c>
      <c r="E61" s="82">
        <v>2500</v>
      </c>
      <c r="F61" s="12">
        <f>100*(E62/$E$106)</f>
        <v>0.13299238518850509</v>
      </c>
      <c r="G61" s="12"/>
      <c r="H61" s="12"/>
    </row>
    <row r="62" spans="1:82">
      <c r="B62" s="6" t="s">
        <v>486</v>
      </c>
      <c r="C62" s="6" t="s">
        <v>487</v>
      </c>
      <c r="D62" s="6" t="s">
        <v>488</v>
      </c>
      <c r="E62" s="75">
        <v>800</v>
      </c>
      <c r="F62" s="12">
        <f t="shared" ref="F62:F105" si="2">100*(E62/$E$106)</f>
        <v>0.13299238518850509</v>
      </c>
      <c r="G62" s="6"/>
    </row>
    <row r="63" spans="1:82">
      <c r="B63" s="6" t="s">
        <v>489</v>
      </c>
      <c r="C63" s="6" t="s">
        <v>490</v>
      </c>
      <c r="D63" s="6" t="s">
        <v>491</v>
      </c>
      <c r="E63" s="75">
        <v>50</v>
      </c>
      <c r="F63" s="12">
        <f t="shared" si="2"/>
        <v>8.3120240742815682E-3</v>
      </c>
      <c r="G63" s="12"/>
      <c r="H63" s="12"/>
    </row>
    <row r="64" spans="1:82">
      <c r="B64" s="6" t="s">
        <v>492</v>
      </c>
      <c r="C64" s="6" t="s">
        <v>481</v>
      </c>
      <c r="D64" s="6" t="s">
        <v>493</v>
      </c>
      <c r="E64" s="75">
        <v>800</v>
      </c>
      <c r="F64" s="12">
        <f t="shared" si="2"/>
        <v>0.13299238518850509</v>
      </c>
      <c r="G64" s="12"/>
      <c r="H64" s="12"/>
    </row>
    <row r="65" spans="1:82">
      <c r="B65" s="6" t="s">
        <v>494</v>
      </c>
      <c r="C65" s="6" t="s">
        <v>495</v>
      </c>
      <c r="D65" s="6" t="s">
        <v>496</v>
      </c>
      <c r="E65" s="75">
        <v>6000</v>
      </c>
      <c r="F65" s="12">
        <f t="shared" si="2"/>
        <v>0.99744288891378796</v>
      </c>
      <c r="G65" s="12"/>
      <c r="H65" s="12"/>
    </row>
    <row r="66" spans="1:82">
      <c r="B66" s="4" t="s">
        <v>497</v>
      </c>
      <c r="C66" s="4" t="s">
        <v>498</v>
      </c>
      <c r="D66" s="4" t="s">
        <v>499</v>
      </c>
      <c r="E66" s="69">
        <v>3200</v>
      </c>
      <c r="F66" s="12">
        <f t="shared" si="2"/>
        <v>0.53196954075402036</v>
      </c>
      <c r="G66" s="12"/>
      <c r="H66" s="12"/>
    </row>
    <row r="67" spans="1:82">
      <c r="B67" s="4" t="s">
        <v>500</v>
      </c>
      <c r="C67" s="4" t="s">
        <v>501</v>
      </c>
      <c r="D67" s="4" t="s">
        <v>502</v>
      </c>
      <c r="E67" s="69">
        <v>200</v>
      </c>
      <c r="F67" s="12">
        <f t="shared" si="2"/>
        <v>3.3248096297126273E-2</v>
      </c>
      <c r="G67" s="12"/>
      <c r="H67" s="12"/>
    </row>
    <row r="68" spans="1:82">
      <c r="B68" s="4" t="s">
        <v>503</v>
      </c>
      <c r="C68" s="4" t="s">
        <v>504</v>
      </c>
      <c r="D68" s="4" t="s">
        <v>505</v>
      </c>
      <c r="E68" s="69">
        <v>1500</v>
      </c>
      <c r="F68" s="12">
        <f t="shared" si="2"/>
        <v>0.24936072222844699</v>
      </c>
      <c r="G68" s="12"/>
      <c r="H68" s="12"/>
    </row>
    <row r="69" spans="1:82" s="20" customFormat="1" ht="14.25">
      <c r="B69" s="22" t="s">
        <v>506</v>
      </c>
      <c r="C69" t="s">
        <v>439</v>
      </c>
      <c r="D69" s="22" t="s">
        <v>507</v>
      </c>
      <c r="E69" s="82">
        <v>500</v>
      </c>
      <c r="F69" s="12">
        <f t="shared" si="2"/>
        <v>8.3120240742815668E-2</v>
      </c>
    </row>
    <row r="70" spans="1:82">
      <c r="B70" s="4" t="s">
        <v>508</v>
      </c>
      <c r="E70" s="69">
        <v>300</v>
      </c>
      <c r="F70" s="12">
        <f t="shared" si="2"/>
        <v>4.9872144445689409E-2</v>
      </c>
      <c r="G70" s="12"/>
      <c r="H70" s="12"/>
    </row>
    <row r="71" spans="1:82">
      <c r="B71" s="4" t="s">
        <v>509</v>
      </c>
      <c r="C71" s="8" t="s">
        <v>510</v>
      </c>
      <c r="D71" s="6"/>
      <c r="E71" s="75">
        <v>500</v>
      </c>
      <c r="F71" s="12">
        <f t="shared" si="2"/>
        <v>8.3120240742815668E-2</v>
      </c>
      <c r="G71" s="12"/>
      <c r="H71" s="12"/>
    </row>
    <row r="72" spans="1:82">
      <c r="B72" s="4" t="s">
        <v>511</v>
      </c>
      <c r="E72" s="69">
        <v>100</v>
      </c>
      <c r="F72" s="12">
        <f t="shared" si="2"/>
        <v>1.6624048148563136E-2</v>
      </c>
      <c r="G72" s="12"/>
      <c r="H72" s="12"/>
    </row>
    <row r="73" spans="1:82">
      <c r="B73" s="4" t="s">
        <v>512</v>
      </c>
      <c r="E73" s="69">
        <v>600</v>
      </c>
      <c r="F73" s="12">
        <f t="shared" si="2"/>
        <v>9.9744288891378818E-2</v>
      </c>
      <c r="G73" s="12"/>
      <c r="H73" s="12"/>
    </row>
    <row r="74" spans="1:82">
      <c r="B74" s="4" t="s">
        <v>513</v>
      </c>
      <c r="E74" s="69">
        <v>5000</v>
      </c>
      <c r="F74" s="12">
        <f t="shared" si="2"/>
        <v>0.83120240742815676</v>
      </c>
      <c r="G74" s="15">
        <f>SUM(E57:E74)</f>
        <v>27070</v>
      </c>
      <c r="H74" s="15">
        <f>100*(G74/$E$106)</f>
        <v>4.5001298338160405</v>
      </c>
    </row>
    <row r="75" spans="1:82" s="5" customFormat="1" ht="13.9">
      <c r="A75" s="13" t="s">
        <v>514</v>
      </c>
      <c r="B75" s="5" t="s">
        <v>515</v>
      </c>
      <c r="E75" s="70">
        <v>50</v>
      </c>
      <c r="F75" s="11">
        <f t="shared" si="2"/>
        <v>8.3120240742815682E-3</v>
      </c>
      <c r="G75" s="12"/>
      <c r="H75" s="12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</row>
    <row r="76" spans="1:82">
      <c r="B76" s="4" t="s">
        <v>516</v>
      </c>
      <c r="E76" s="69">
        <v>100</v>
      </c>
      <c r="F76" s="12">
        <f t="shared" si="2"/>
        <v>1.6624048148563136E-2</v>
      </c>
      <c r="G76" s="12"/>
      <c r="H76" s="12"/>
    </row>
    <row r="77" spans="1:82">
      <c r="B77" s="4" t="s">
        <v>517</v>
      </c>
      <c r="E77" s="69">
        <v>50</v>
      </c>
      <c r="F77" s="12">
        <f t="shared" si="2"/>
        <v>8.3120240742815682E-3</v>
      </c>
      <c r="G77" s="12"/>
      <c r="H77" s="12"/>
    </row>
    <row r="78" spans="1:82">
      <c r="B78" s="4" t="s">
        <v>518</v>
      </c>
      <c r="E78" s="69">
        <v>1000</v>
      </c>
      <c r="F78" s="12">
        <f t="shared" si="2"/>
        <v>0.16624048148563134</v>
      </c>
      <c r="G78" s="12"/>
      <c r="H78" s="12"/>
    </row>
    <row r="79" spans="1:82">
      <c r="B79" s="4" t="s">
        <v>519</v>
      </c>
      <c r="E79" s="69">
        <v>1000</v>
      </c>
      <c r="F79" s="12">
        <f t="shared" si="2"/>
        <v>0.16624048148563134</v>
      </c>
      <c r="G79" s="12"/>
      <c r="H79" s="12"/>
    </row>
    <row r="80" spans="1:82">
      <c r="B80" s="4" t="s">
        <v>520</v>
      </c>
      <c r="E80" s="69">
        <v>100</v>
      </c>
      <c r="F80" s="12">
        <f t="shared" si="2"/>
        <v>1.6624048148563136E-2</v>
      </c>
      <c r="G80" s="12"/>
      <c r="H80" s="12"/>
    </row>
    <row r="81" spans="1:82">
      <c r="B81" s="4" t="s">
        <v>521</v>
      </c>
      <c r="E81" s="69">
        <v>500</v>
      </c>
      <c r="F81" s="12">
        <f t="shared" si="2"/>
        <v>8.3120240742815668E-2</v>
      </c>
      <c r="G81" s="12"/>
      <c r="H81" s="12"/>
    </row>
    <row r="82" spans="1:82">
      <c r="B82" s="4" t="s">
        <v>522</v>
      </c>
      <c r="C82" s="4" t="s">
        <v>523</v>
      </c>
      <c r="E82" s="71">
        <v>0</v>
      </c>
      <c r="F82" s="15">
        <f t="shared" si="2"/>
        <v>0</v>
      </c>
      <c r="G82" s="15">
        <f>SUM(E75:E82)</f>
        <v>2800</v>
      </c>
      <c r="H82" s="15">
        <f>SUM(F75:F82)</f>
        <v>0.46547334815976771</v>
      </c>
    </row>
    <row r="83" spans="1:82" s="5" customFormat="1" ht="13.9">
      <c r="A83" s="13" t="s">
        <v>524</v>
      </c>
      <c r="B83" s="5" t="s">
        <v>525</v>
      </c>
      <c r="C83" s="5" t="s">
        <v>526</v>
      </c>
      <c r="D83" s="5" t="s">
        <v>527</v>
      </c>
      <c r="E83" s="69">
        <v>70000</v>
      </c>
      <c r="F83" s="12">
        <f t="shared" si="2"/>
        <v>11.636833703994194</v>
      </c>
      <c r="G83" s="12"/>
      <c r="H83" s="12"/>
      <c r="I83" s="4"/>
      <c r="J83" s="4"/>
      <c r="K83" s="4"/>
      <c r="L83" s="16"/>
      <c r="M83" s="17"/>
      <c r="N83" s="16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</row>
    <row r="84" spans="1:82" s="89" customFormat="1" ht="13.9">
      <c r="A84" s="92"/>
      <c r="B84" s="89" t="s">
        <v>528</v>
      </c>
      <c r="C84" s="89" t="s">
        <v>526</v>
      </c>
      <c r="D84" s="89" t="s">
        <v>529</v>
      </c>
      <c r="E84" s="73"/>
      <c r="F84" s="91">
        <f t="shared" si="2"/>
        <v>0</v>
      </c>
      <c r="G84" s="91"/>
      <c r="H84" s="91"/>
      <c r="I84" s="89">
        <v>45000</v>
      </c>
      <c r="L84" s="93"/>
      <c r="M84" s="94"/>
      <c r="N84" s="93"/>
    </row>
    <row r="85" spans="1:82">
      <c r="B85" s="4" t="s">
        <v>530</v>
      </c>
      <c r="C85" s="4" t="s">
        <v>531</v>
      </c>
      <c r="D85" s="4" t="s">
        <v>532</v>
      </c>
      <c r="E85" s="69">
        <v>60000</v>
      </c>
      <c r="F85" s="12">
        <f t="shared" si="2"/>
        <v>9.9744288891378812</v>
      </c>
      <c r="L85" s="16"/>
      <c r="M85" s="17"/>
      <c r="N85" s="16"/>
    </row>
    <row r="86" spans="1:82" s="89" customFormat="1">
      <c r="B86" s="95" t="s">
        <v>533</v>
      </c>
      <c r="C86" s="95" t="s">
        <v>531</v>
      </c>
      <c r="D86" s="95" t="s">
        <v>534</v>
      </c>
      <c r="E86" s="96"/>
      <c r="F86" s="97">
        <f t="shared" si="2"/>
        <v>0</v>
      </c>
      <c r="G86" s="97">
        <f>SUM(E83:E86)</f>
        <v>130000</v>
      </c>
      <c r="H86" s="97">
        <f>SUM(F83:F85)</f>
        <v>21.611262593132075</v>
      </c>
      <c r="I86" s="89">
        <v>60000</v>
      </c>
      <c r="L86" s="93"/>
      <c r="M86" s="94"/>
      <c r="N86" s="93"/>
    </row>
    <row r="87" spans="1:82" s="5" customFormat="1" ht="13.9">
      <c r="A87" s="13" t="s">
        <v>535</v>
      </c>
      <c r="B87" s="4" t="s">
        <v>536</v>
      </c>
      <c r="C87" s="4" t="s">
        <v>537</v>
      </c>
      <c r="D87" s="4"/>
      <c r="E87" s="69">
        <v>2200</v>
      </c>
      <c r="F87" s="12">
        <f t="shared" si="2"/>
        <v>0.36572905926838895</v>
      </c>
      <c r="G87" s="12"/>
      <c r="H87" s="1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</row>
    <row r="88" spans="1:82">
      <c r="C88" s="4" t="s">
        <v>538</v>
      </c>
      <c r="E88" s="69">
        <v>700</v>
      </c>
      <c r="F88" s="12">
        <f t="shared" si="2"/>
        <v>0.11636833703994194</v>
      </c>
      <c r="G88" s="12"/>
      <c r="H88" s="12"/>
    </row>
    <row r="89" spans="1:82">
      <c r="C89" s="4" t="s">
        <v>539</v>
      </c>
      <c r="E89" s="69">
        <v>1500</v>
      </c>
      <c r="F89" s="12">
        <f t="shared" si="2"/>
        <v>0.24936072222844699</v>
      </c>
      <c r="G89" s="12"/>
      <c r="H89" s="12"/>
    </row>
    <row r="90" spans="1:82">
      <c r="C90" s="4" t="s">
        <v>540</v>
      </c>
      <c r="E90" s="69">
        <v>50</v>
      </c>
      <c r="F90" s="12">
        <f t="shared" si="2"/>
        <v>8.3120240742815682E-3</v>
      </c>
      <c r="G90" s="12"/>
      <c r="H90" s="12"/>
    </row>
    <row r="91" spans="1:82">
      <c r="C91" s="4" t="s">
        <v>541</v>
      </c>
      <c r="E91" s="69">
        <v>6000</v>
      </c>
      <c r="F91" s="12">
        <f t="shared" si="2"/>
        <v>0.99744288891378796</v>
      </c>
      <c r="G91" s="12"/>
      <c r="H91" s="12"/>
    </row>
    <row r="92" spans="1:82">
      <c r="B92" s="4" t="s">
        <v>542</v>
      </c>
      <c r="C92" s="4" t="s">
        <v>543</v>
      </c>
      <c r="E92" s="69">
        <v>200</v>
      </c>
      <c r="F92" s="12">
        <f t="shared" si="2"/>
        <v>3.3248096297126273E-2</v>
      </c>
      <c r="G92" s="12"/>
      <c r="H92" s="12"/>
    </row>
    <row r="93" spans="1:82">
      <c r="C93" s="4" t="s">
        <v>544</v>
      </c>
      <c r="E93" s="69">
        <v>300</v>
      </c>
      <c r="F93" s="12">
        <f t="shared" si="2"/>
        <v>4.9872144445689409E-2</v>
      </c>
      <c r="G93" s="12"/>
      <c r="H93" s="12"/>
    </row>
    <row r="94" spans="1:82">
      <c r="C94" s="4" t="s">
        <v>545</v>
      </c>
      <c r="E94" s="69">
        <v>500</v>
      </c>
      <c r="F94" s="12">
        <f t="shared" si="2"/>
        <v>8.3120240742815668E-2</v>
      </c>
      <c r="G94" s="12"/>
      <c r="H94" s="12"/>
    </row>
    <row r="95" spans="1:82">
      <c r="C95" s="4" t="s">
        <v>546</v>
      </c>
      <c r="E95" s="69">
        <v>400</v>
      </c>
      <c r="F95" s="12">
        <f t="shared" si="2"/>
        <v>6.6496192594252546E-2</v>
      </c>
      <c r="G95" s="12"/>
      <c r="H95" s="12"/>
    </row>
    <row r="96" spans="1:82">
      <c r="C96" s="4" t="s">
        <v>547</v>
      </c>
      <c r="E96" s="69">
        <v>200</v>
      </c>
      <c r="F96" s="12">
        <f t="shared" si="2"/>
        <v>3.3248096297126273E-2</v>
      </c>
      <c r="G96" s="12"/>
      <c r="H96" s="12"/>
    </row>
    <row r="97" spans="1:14">
      <c r="C97" s="4" t="s">
        <v>548</v>
      </c>
      <c r="E97" s="69">
        <v>100</v>
      </c>
      <c r="F97" s="12">
        <f t="shared" si="2"/>
        <v>1.6624048148563136E-2</v>
      </c>
      <c r="G97" s="12"/>
      <c r="H97" s="12"/>
    </row>
    <row r="98" spans="1:14">
      <c r="C98" s="4" t="s">
        <v>549</v>
      </c>
      <c r="E98" s="69">
        <v>500</v>
      </c>
      <c r="F98" s="12">
        <f t="shared" si="2"/>
        <v>8.3120240742815668E-2</v>
      </c>
      <c r="G98" s="12"/>
      <c r="H98" s="12"/>
    </row>
    <row r="99" spans="1:14">
      <c r="B99" s="4" t="s">
        <v>550</v>
      </c>
      <c r="C99" s="4" t="s">
        <v>551</v>
      </c>
      <c r="E99" s="69">
        <v>1200</v>
      </c>
      <c r="F99" s="12">
        <f t="shared" si="2"/>
        <v>0.19948857778275764</v>
      </c>
      <c r="G99" s="12"/>
      <c r="H99" s="12"/>
    </row>
    <row r="100" spans="1:14">
      <c r="C100" s="4" t="s">
        <v>552</v>
      </c>
      <c r="E100" s="69">
        <v>300</v>
      </c>
      <c r="F100" s="12">
        <f t="shared" si="2"/>
        <v>4.9872144445689409E-2</v>
      </c>
      <c r="G100" s="12"/>
      <c r="H100" s="12"/>
    </row>
    <row r="101" spans="1:14">
      <c r="C101" s="4" t="s">
        <v>553</v>
      </c>
      <c r="E101" s="69">
        <v>600</v>
      </c>
      <c r="F101" s="12">
        <f t="shared" si="2"/>
        <v>9.9744288891378818E-2</v>
      </c>
      <c r="G101" s="12"/>
      <c r="H101" s="12"/>
    </row>
    <row r="102" spans="1:14">
      <c r="B102" s="4" t="s">
        <v>554</v>
      </c>
      <c r="E102" s="69">
        <v>500</v>
      </c>
      <c r="F102" s="12">
        <f t="shared" si="2"/>
        <v>8.3120240742815668E-2</v>
      </c>
      <c r="G102" s="12"/>
      <c r="H102" s="12"/>
    </row>
    <row r="103" spans="1:14">
      <c r="B103" s="4" t="s">
        <v>555</v>
      </c>
      <c r="C103" s="4" t="s">
        <v>556</v>
      </c>
      <c r="E103" s="69">
        <v>3000</v>
      </c>
      <c r="F103" s="12">
        <f t="shared" si="2"/>
        <v>0.49872144445689398</v>
      </c>
      <c r="G103" s="12"/>
      <c r="H103" s="12"/>
      <c r="L103" s="16"/>
      <c r="M103" s="17"/>
      <c r="N103" s="16"/>
    </row>
    <row r="104" spans="1:14">
      <c r="B104" s="4" t="s">
        <v>557</v>
      </c>
      <c r="C104" s="4" t="s">
        <v>558</v>
      </c>
      <c r="E104" s="69">
        <v>24000</v>
      </c>
      <c r="F104" s="12">
        <f t="shared" si="2"/>
        <v>3.9897715556551518</v>
      </c>
      <c r="G104" s="12"/>
      <c r="H104" s="12"/>
      <c r="L104" s="16"/>
      <c r="M104" s="17"/>
      <c r="N104" s="16"/>
    </row>
    <row r="105" spans="1:14">
      <c r="A105" s="19"/>
      <c r="B105" s="19" t="s">
        <v>559</v>
      </c>
      <c r="C105" s="19" t="s">
        <v>560</v>
      </c>
      <c r="D105" s="19"/>
      <c r="E105" s="71">
        <v>0</v>
      </c>
      <c r="F105" s="15">
        <f t="shared" si="2"/>
        <v>0</v>
      </c>
      <c r="G105" s="15">
        <f>SUM(E87:E104)</f>
        <v>42250</v>
      </c>
      <c r="H105" s="15">
        <f>100*(G105/$E$106)</f>
        <v>7.0236603427679247</v>
      </c>
    </row>
    <row r="106" spans="1:14" ht="13.9">
      <c r="E106" s="83">
        <f>SUM(E8:E105)</f>
        <v>601538.19999999995</v>
      </c>
      <c r="F106" s="12"/>
      <c r="G106" s="12"/>
      <c r="H106" s="12"/>
    </row>
    <row r="107" spans="1:14" s="19" customFormat="1" ht="13.9">
      <c r="A107" s="68" t="s">
        <v>561</v>
      </c>
      <c r="E107" s="71"/>
      <c r="F107" s="15"/>
      <c r="G107" s="15"/>
      <c r="H107" s="15"/>
    </row>
    <row r="108" spans="1:14" s="62" customFormat="1" ht="14.25">
      <c r="A108" s="1" t="s">
        <v>562</v>
      </c>
      <c r="B108" s="2" t="s">
        <v>563</v>
      </c>
      <c r="C108" s="2" t="s">
        <v>564</v>
      </c>
      <c r="D108" s="2"/>
      <c r="E108" s="84"/>
      <c r="F108" s="27"/>
      <c r="G108" s="2"/>
      <c r="H108" s="30"/>
      <c r="I108" s="63"/>
      <c r="J108" s="63"/>
      <c r="K108" s="63"/>
    </row>
    <row r="109" spans="1:14" s="62" customFormat="1" ht="14.25">
      <c r="A109" s="2" t="s">
        <v>565</v>
      </c>
      <c r="B109" s="2"/>
      <c r="C109" s="2" t="s">
        <v>566</v>
      </c>
      <c r="D109" s="2"/>
      <c r="E109" s="84"/>
      <c r="F109" s="27"/>
      <c r="G109" s="2"/>
      <c r="H109" s="30"/>
      <c r="I109" s="63"/>
      <c r="J109" s="63"/>
      <c r="K109" s="63"/>
    </row>
    <row r="110" spans="1:14" s="62" customFormat="1" ht="14.25">
      <c r="A110" s="2"/>
      <c r="B110" s="2"/>
      <c r="C110" s="2" t="s">
        <v>567</v>
      </c>
      <c r="D110" s="2"/>
      <c r="E110" s="84"/>
      <c r="F110" s="27"/>
      <c r="G110" s="2"/>
      <c r="H110" s="30"/>
      <c r="I110" s="63"/>
      <c r="J110" s="63"/>
      <c r="K110" s="63"/>
    </row>
    <row r="111" spans="1:14" s="62" customFormat="1" ht="14.25">
      <c r="A111" s="2"/>
      <c r="B111" s="2" t="s">
        <v>568</v>
      </c>
      <c r="C111" s="2" t="s">
        <v>564</v>
      </c>
      <c r="D111" s="2" t="s">
        <v>569</v>
      </c>
      <c r="E111" s="84">
        <v>120000</v>
      </c>
      <c r="F111" s="27"/>
      <c r="G111" s="2"/>
      <c r="H111" s="30"/>
      <c r="I111" s="63"/>
      <c r="J111" s="63"/>
      <c r="K111" s="63"/>
    </row>
    <row r="112" spans="1:14" s="62" customFormat="1" ht="14.25">
      <c r="A112" s="2"/>
      <c r="B112" s="2"/>
      <c r="C112" s="2" t="s">
        <v>566</v>
      </c>
      <c r="D112" s="2"/>
      <c r="E112" s="84">
        <v>0</v>
      </c>
      <c r="F112" s="27"/>
      <c r="G112" s="2"/>
      <c r="H112" s="30"/>
      <c r="I112" s="63"/>
      <c r="J112" s="63"/>
      <c r="K112" s="63"/>
    </row>
    <row r="113" spans="1:11" s="62" customFormat="1" ht="14.25">
      <c r="A113" s="29"/>
      <c r="B113" s="29"/>
      <c r="C113" s="29" t="s">
        <v>567</v>
      </c>
      <c r="D113" s="29" t="s">
        <v>570</v>
      </c>
      <c r="E113" s="85">
        <v>48000</v>
      </c>
      <c r="F113" s="28"/>
      <c r="G113" s="28">
        <f>SUM(E108:E113)</f>
        <v>168000</v>
      </c>
      <c r="H113" s="64"/>
      <c r="I113" s="63"/>
      <c r="J113" s="63"/>
      <c r="K113" s="63"/>
    </row>
    <row r="114" spans="1:11" s="62" customFormat="1" ht="14.25">
      <c r="E114" s="86"/>
      <c r="H114" s="63"/>
      <c r="I114" s="63"/>
      <c r="J114" s="63"/>
      <c r="K114" s="63"/>
    </row>
    <row r="115" spans="1:11" s="62" customFormat="1" ht="14.25">
      <c r="E115" s="86"/>
      <c r="H115" s="63"/>
      <c r="I115" s="63"/>
      <c r="J115" s="63"/>
      <c r="K115" s="63"/>
    </row>
    <row r="119" spans="1:11" ht="13.9">
      <c r="D119" s="20"/>
      <c r="E119" s="87"/>
      <c r="F119" s="65" t="s">
        <v>571</v>
      </c>
      <c r="G119" s="66">
        <v>751000</v>
      </c>
      <c r="H119" s="83">
        <f>E106</f>
        <v>601538.19999999995</v>
      </c>
    </row>
    <row r="120" spans="1:11" ht="13.9">
      <c r="D120" s="20"/>
      <c r="E120" s="87"/>
      <c r="F120" s="67" t="s">
        <v>561</v>
      </c>
      <c r="G120" s="66">
        <v>168000</v>
      </c>
      <c r="H120" s="4">
        <v>168000</v>
      </c>
    </row>
    <row r="121" spans="1:11" ht="13.9">
      <c r="D121" s="20"/>
      <c r="E121" s="87"/>
      <c r="F121" s="67" t="s">
        <v>572</v>
      </c>
      <c r="G121" s="66">
        <f>SUM(G119:G120)</f>
        <v>919000</v>
      </c>
      <c r="H121" s="66">
        <f>SUM(H119:H120)</f>
        <v>769538.2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44"/>
  <sheetViews>
    <sheetView topLeftCell="A27" zoomScaleNormal="100" workbookViewId="0">
      <selection activeCell="C42" sqref="C42"/>
    </sheetView>
  </sheetViews>
  <sheetFormatPr defaultColWidth="8.46484375" defaultRowHeight="15"/>
  <cols>
    <col min="1" max="1" width="17.46484375" style="31" customWidth="1"/>
    <col min="2" max="2" width="33.46484375" style="41" customWidth="1"/>
    <col min="3" max="3" width="26.46484375" style="41" customWidth="1"/>
    <col min="4" max="4" width="15.46484375" style="41" customWidth="1"/>
    <col min="5" max="5" width="16.46484375" style="41" customWidth="1"/>
    <col min="6" max="16384" width="8.46484375" style="31"/>
  </cols>
  <sheetData>
    <row r="2" spans="1:6">
      <c r="B2" s="37" t="s">
        <v>349</v>
      </c>
      <c r="C2" s="37" t="s">
        <v>573</v>
      </c>
      <c r="D2" s="37" t="s">
        <v>574</v>
      </c>
    </row>
    <row r="3" spans="1:6" s="36" customFormat="1" ht="20.25" customHeight="1">
      <c r="A3" s="32" t="s">
        <v>575</v>
      </c>
      <c r="B3" s="38" t="s">
        <v>576</v>
      </c>
      <c r="C3" s="38" t="s">
        <v>577</v>
      </c>
      <c r="D3" s="38">
        <v>9000</v>
      </c>
      <c r="E3" s="42"/>
    </row>
    <row r="4" spans="1:6" s="34" customFormat="1" ht="20.25" customHeight="1">
      <c r="A4" s="33"/>
      <c r="B4" s="39" t="s">
        <v>578</v>
      </c>
      <c r="C4" s="39" t="s">
        <v>439</v>
      </c>
      <c r="D4" s="39">
        <v>2000</v>
      </c>
      <c r="E4" s="43"/>
      <c r="F4" s="54"/>
    </row>
    <row r="5" spans="1:6" s="34" customFormat="1" ht="14.25" customHeight="1">
      <c r="A5" s="33"/>
      <c r="B5" s="39" t="s">
        <v>579</v>
      </c>
      <c r="C5" s="39" t="s">
        <v>439</v>
      </c>
      <c r="D5" s="39">
        <v>5000</v>
      </c>
      <c r="E5" s="43"/>
    </row>
    <row r="6" spans="1:6" s="34" customFormat="1" ht="14.25" customHeight="1">
      <c r="A6" s="33"/>
      <c r="B6" s="39" t="s">
        <v>580</v>
      </c>
      <c r="C6" s="39" t="s">
        <v>439</v>
      </c>
      <c r="D6" s="39">
        <v>1200</v>
      </c>
      <c r="E6" s="43"/>
    </row>
    <row r="7" spans="1:6" s="34" customFormat="1">
      <c r="B7" s="39" t="s">
        <v>581</v>
      </c>
      <c r="C7" s="39" t="s">
        <v>439</v>
      </c>
      <c r="D7" s="39">
        <v>1000</v>
      </c>
      <c r="E7" s="43"/>
    </row>
    <row r="8" spans="1:6">
      <c r="B8" s="39" t="s">
        <v>582</v>
      </c>
      <c r="C8" s="39" t="s">
        <v>439</v>
      </c>
      <c r="D8" s="39">
        <v>400</v>
      </c>
    </row>
    <row r="9" spans="1:6" s="34" customFormat="1">
      <c r="B9" s="39" t="s">
        <v>583</v>
      </c>
      <c r="C9" s="39" t="s">
        <v>439</v>
      </c>
      <c r="D9" s="39">
        <v>3000</v>
      </c>
      <c r="E9" s="43"/>
    </row>
    <row r="10" spans="1:6" s="34" customFormat="1">
      <c r="B10" s="39" t="s">
        <v>584</v>
      </c>
      <c r="C10" s="39" t="s">
        <v>439</v>
      </c>
      <c r="D10" s="39">
        <v>3000</v>
      </c>
      <c r="E10" s="43"/>
    </row>
    <row r="11" spans="1:6" s="34" customFormat="1">
      <c r="B11" s="39" t="s">
        <v>585</v>
      </c>
      <c r="C11" s="39" t="s">
        <v>439</v>
      </c>
      <c r="D11" s="39">
        <v>2200</v>
      </c>
      <c r="E11" s="43"/>
    </row>
    <row r="12" spans="1:6" s="34" customFormat="1">
      <c r="B12" s="39" t="s">
        <v>586</v>
      </c>
      <c r="C12" s="39" t="s">
        <v>439</v>
      </c>
      <c r="D12" s="39">
        <v>7500</v>
      </c>
      <c r="E12" s="43"/>
    </row>
    <row r="13" spans="1:6">
      <c r="B13" s="39" t="s">
        <v>587</v>
      </c>
      <c r="C13" s="39" t="s">
        <v>14</v>
      </c>
      <c r="D13" s="39">
        <v>2000</v>
      </c>
    </row>
    <row r="14" spans="1:6">
      <c r="B14" s="39" t="s">
        <v>588</v>
      </c>
      <c r="C14" s="39" t="s">
        <v>439</v>
      </c>
      <c r="D14" s="39">
        <v>6000</v>
      </c>
    </row>
    <row r="15" spans="1:6">
      <c r="B15" s="39" t="s">
        <v>589</v>
      </c>
      <c r="C15" s="39" t="s">
        <v>590</v>
      </c>
      <c r="D15" s="39">
        <v>2000</v>
      </c>
    </row>
    <row r="16" spans="1:6">
      <c r="B16" s="39" t="s">
        <v>591</v>
      </c>
      <c r="C16" s="39" t="s">
        <v>439</v>
      </c>
      <c r="D16" s="39">
        <v>6000</v>
      </c>
    </row>
    <row r="17" spans="1:8">
      <c r="B17" s="39" t="s">
        <v>592</v>
      </c>
      <c r="C17" s="39" t="s">
        <v>593</v>
      </c>
      <c r="D17" s="39">
        <v>500</v>
      </c>
    </row>
    <row r="18" spans="1:8" ht="13.5" customHeight="1">
      <c r="B18" s="44" t="s">
        <v>594</v>
      </c>
      <c r="C18" s="44" t="s">
        <v>595</v>
      </c>
      <c r="D18" s="39">
        <v>1500</v>
      </c>
    </row>
    <row r="19" spans="1:8">
      <c r="B19" s="39" t="s">
        <v>596</v>
      </c>
      <c r="C19" s="39" t="s">
        <v>593</v>
      </c>
      <c r="D19" s="39">
        <v>500</v>
      </c>
    </row>
    <row r="20" spans="1:8">
      <c r="B20" s="39" t="s">
        <v>597</v>
      </c>
      <c r="C20" s="39" t="s">
        <v>598</v>
      </c>
      <c r="D20" s="39">
        <v>2000</v>
      </c>
    </row>
    <row r="21" spans="1:8">
      <c r="B21" s="39" t="s">
        <v>599</v>
      </c>
      <c r="C21" s="39" t="s">
        <v>593</v>
      </c>
      <c r="D21" s="39">
        <v>300</v>
      </c>
    </row>
    <row r="22" spans="1:8">
      <c r="B22" s="39" t="s">
        <v>600</v>
      </c>
      <c r="C22" s="39" t="s">
        <v>593</v>
      </c>
      <c r="D22" s="39">
        <v>500</v>
      </c>
    </row>
    <row r="23" spans="1:8">
      <c r="B23" s="39" t="s">
        <v>601</v>
      </c>
      <c r="C23" s="39" t="s">
        <v>593</v>
      </c>
      <c r="D23" s="39">
        <v>100</v>
      </c>
    </row>
    <row r="24" spans="1:8">
      <c r="B24" s="39" t="s">
        <v>602</v>
      </c>
      <c r="C24" s="39" t="s">
        <v>593</v>
      </c>
      <c r="D24" s="39">
        <v>150</v>
      </c>
    </row>
    <row r="25" spans="1:8">
      <c r="B25" s="39" t="s">
        <v>603</v>
      </c>
      <c r="C25" s="39" t="s">
        <v>593</v>
      </c>
      <c r="D25" s="39">
        <v>250</v>
      </c>
    </row>
    <row r="26" spans="1:8">
      <c r="B26" s="39" t="s">
        <v>604</v>
      </c>
      <c r="C26" s="39" t="s">
        <v>605</v>
      </c>
      <c r="D26" s="39">
        <v>400</v>
      </c>
    </row>
    <row r="27" spans="1:8">
      <c r="B27" s="39" t="s">
        <v>606</v>
      </c>
      <c r="C27" s="39" t="s">
        <v>607</v>
      </c>
      <c r="D27" s="39">
        <v>500</v>
      </c>
    </row>
    <row r="28" spans="1:8">
      <c r="B28" s="39" t="s">
        <v>608</v>
      </c>
      <c r="C28" s="39" t="s">
        <v>609</v>
      </c>
      <c r="D28" s="39">
        <v>600</v>
      </c>
    </row>
    <row r="29" spans="1:8" s="4" customFormat="1">
      <c r="B29" s="88" t="s">
        <v>610</v>
      </c>
      <c r="C29" s="6" t="s">
        <v>611</v>
      </c>
      <c r="D29" s="7">
        <v>400</v>
      </c>
      <c r="F29" s="12"/>
      <c r="G29" s="12"/>
      <c r="H29" s="12"/>
    </row>
    <row r="30" spans="1:8" s="34" customFormat="1">
      <c r="B30" s="39" t="s">
        <v>612</v>
      </c>
      <c r="C30" s="39" t="s">
        <v>613</v>
      </c>
      <c r="D30" s="39">
        <v>4000</v>
      </c>
    </row>
    <row r="31" spans="1:8" s="34" customFormat="1">
      <c r="B31" s="39" t="s">
        <v>614</v>
      </c>
      <c r="C31" s="39"/>
      <c r="D31" s="40">
        <v>8000</v>
      </c>
      <c r="E31" s="40">
        <f>SUM(D3:D31)</f>
        <v>70000</v>
      </c>
    </row>
    <row r="32" spans="1:8" s="36" customFormat="1">
      <c r="A32" s="35" t="s">
        <v>434</v>
      </c>
      <c r="B32" s="38" t="s">
        <v>615</v>
      </c>
      <c r="C32" s="38" t="s">
        <v>616</v>
      </c>
      <c r="D32" s="41">
        <v>7000</v>
      </c>
      <c r="E32" s="39"/>
    </row>
    <row r="33" spans="2:6" s="34" customFormat="1">
      <c r="B33" s="39" t="s">
        <v>617</v>
      </c>
      <c r="C33" s="41" t="s">
        <v>618</v>
      </c>
      <c r="D33" s="41">
        <v>4000</v>
      </c>
      <c r="E33" s="39"/>
    </row>
    <row r="34" spans="2:6">
      <c r="B34" s="39" t="s">
        <v>619</v>
      </c>
      <c r="C34" s="39" t="s">
        <v>620</v>
      </c>
      <c r="D34" s="39">
        <v>3000</v>
      </c>
    </row>
    <row r="35" spans="2:6" s="34" customFormat="1">
      <c r="B35" s="39" t="s">
        <v>621</v>
      </c>
      <c r="C35" s="41" t="s">
        <v>618</v>
      </c>
      <c r="D35" s="41">
        <v>4000</v>
      </c>
      <c r="E35" s="39"/>
    </row>
    <row r="36" spans="2:6">
      <c r="B36" s="41" t="s">
        <v>622</v>
      </c>
      <c r="C36" s="41" t="s">
        <v>618</v>
      </c>
      <c r="D36" s="41">
        <v>8000</v>
      </c>
    </row>
    <row r="37" spans="2:6">
      <c r="B37" s="39" t="s">
        <v>623</v>
      </c>
      <c r="C37" s="41" t="s">
        <v>618</v>
      </c>
      <c r="D37" s="41">
        <v>3000</v>
      </c>
    </row>
    <row r="38" spans="2:6" ht="12.75" customHeight="1">
      <c r="B38" s="39" t="s">
        <v>624</v>
      </c>
      <c r="C38" s="41" t="s">
        <v>618</v>
      </c>
      <c r="D38" s="41">
        <v>1500</v>
      </c>
    </row>
    <row r="39" spans="2:6" ht="12.75" customHeight="1">
      <c r="B39" s="39" t="s">
        <v>625</v>
      </c>
      <c r="C39" s="41" t="s">
        <v>618</v>
      </c>
      <c r="D39" s="41">
        <v>1500</v>
      </c>
    </row>
    <row r="40" spans="2:6" ht="12.75" customHeight="1">
      <c r="B40" s="31" t="s">
        <v>626</v>
      </c>
      <c r="C40" s="31" t="s">
        <v>627</v>
      </c>
      <c r="D40" s="41">
        <v>3000</v>
      </c>
    </row>
    <row r="41" spans="2:6" s="55" customFormat="1">
      <c r="B41" s="40" t="s">
        <v>614</v>
      </c>
      <c r="D41" s="56">
        <v>10000</v>
      </c>
      <c r="E41" s="56">
        <f>SUM(D32:D41)</f>
        <v>45000</v>
      </c>
    </row>
    <row r="42" spans="2:6">
      <c r="B42" s="39"/>
      <c r="C42" s="39"/>
      <c r="D42" s="39">
        <f>SUM(D3:D41)</f>
        <v>115000</v>
      </c>
      <c r="E42" s="39"/>
      <c r="F42" s="34"/>
    </row>
    <row r="43" spans="2:6">
      <c r="B43" s="39"/>
      <c r="C43" s="39"/>
      <c r="E43" s="39"/>
    </row>
    <row r="44" spans="2:6">
      <c r="B44" s="39"/>
      <c r="D44" s="57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14"/>
  <sheetViews>
    <sheetView workbookViewId="0">
      <selection activeCell="A3" sqref="A3:C14"/>
    </sheetView>
  </sheetViews>
  <sheetFormatPr defaultColWidth="8.46484375" defaultRowHeight="14.25"/>
  <cols>
    <col min="2" max="2" width="20.46484375" customWidth="1"/>
    <col min="3" max="3" width="19.06640625" customWidth="1"/>
  </cols>
  <sheetData>
    <row r="3" spans="1:3">
      <c r="A3" s="103" t="s">
        <v>628</v>
      </c>
      <c r="B3" s="60" t="s">
        <v>629</v>
      </c>
      <c r="C3" s="104" t="s">
        <v>630</v>
      </c>
    </row>
    <row r="4" spans="1:3">
      <c r="A4" s="58"/>
      <c r="B4" s="27" t="s">
        <v>631</v>
      </c>
      <c r="C4" s="58" t="s">
        <v>630</v>
      </c>
    </row>
    <row r="5" spans="1:3">
      <c r="A5" s="58"/>
      <c r="B5" s="59" t="s">
        <v>632</v>
      </c>
      <c r="C5" s="58" t="s">
        <v>630</v>
      </c>
    </row>
    <row r="6" spans="1:3">
      <c r="A6" s="58"/>
      <c r="B6" s="27" t="s">
        <v>633</v>
      </c>
      <c r="C6" s="58" t="s">
        <v>630</v>
      </c>
    </row>
    <row r="7" spans="1:3">
      <c r="A7" s="58"/>
      <c r="B7" s="27" t="s">
        <v>634</v>
      </c>
      <c r="C7" s="58" t="s">
        <v>630</v>
      </c>
    </row>
    <row r="8" spans="1:3">
      <c r="A8" s="58"/>
      <c r="B8" s="27" t="s">
        <v>635</v>
      </c>
      <c r="C8" s="58" t="s">
        <v>630</v>
      </c>
    </row>
    <row r="9" spans="1:3">
      <c r="A9" s="58"/>
      <c r="B9" s="27" t="s">
        <v>636</v>
      </c>
      <c r="C9" s="58" t="s">
        <v>630</v>
      </c>
    </row>
    <row r="10" spans="1:3">
      <c r="A10" s="58"/>
      <c r="B10" s="27" t="s">
        <v>637</v>
      </c>
      <c r="C10" s="58" t="s">
        <v>630</v>
      </c>
    </row>
    <row r="11" spans="1:3">
      <c r="A11" s="58"/>
      <c r="B11" s="27" t="s">
        <v>638</v>
      </c>
      <c r="C11" s="58" t="s">
        <v>630</v>
      </c>
    </row>
    <row r="12" spans="1:3">
      <c r="A12" s="58"/>
      <c r="B12" s="27" t="s">
        <v>639</v>
      </c>
      <c r="C12" s="27" t="s">
        <v>20</v>
      </c>
    </row>
    <row r="13" spans="1:3">
      <c r="A13" s="58"/>
      <c r="B13" s="27" t="s">
        <v>640</v>
      </c>
      <c r="C13" s="58" t="s">
        <v>630</v>
      </c>
    </row>
    <row r="14" spans="1:3">
      <c r="A14" s="61"/>
      <c r="B14" s="28" t="s">
        <v>641</v>
      </c>
      <c r="C14" s="58" t="s">
        <v>630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3_Chemicals&amp;Reagents</vt:lpstr>
      <vt:lpstr>1_Overall Budget </vt:lpstr>
      <vt:lpstr>2_Consumables</vt:lpstr>
      <vt:lpstr>4_Bioreagents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Xiao Kuang</dc:creator>
  <cp:keywords/>
  <dc:description/>
  <cp:lastModifiedBy>Zebang Zhang</cp:lastModifiedBy>
  <cp:revision/>
  <dcterms:created xsi:type="dcterms:W3CDTF">2023-12-25T03:04:44Z</dcterms:created>
  <dcterms:modified xsi:type="dcterms:W3CDTF">2026-01-20T17:42:11Z</dcterms:modified>
  <cp:category/>
  <cp:contentStatus/>
</cp:coreProperties>
</file>